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LaVA-1.5-7B" sheetId="1" state="visible" r:id="rId3"/>
    <sheet name="Run Log" sheetId="2" state="visible" r:id="rId4"/>
    <sheet name="LLaVA-1.5-13B" sheetId="3" state="visible" r:id="rId5"/>
    <sheet name="Qwen2.5-VL-7B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<sst xmlns="http://schemas.openxmlformats.org/spreadsheetml/2006/main" count="137" uniqueCount="56">
  <si>
    <t xml:space="preserve">BTP Reproduction — LLaVA-v1.5-7B</t>
  </si>
  <si>
    <t xml:space="preserve">IIT Jodhpur HPC, A100-40GB, FlashAttention-2, full datasets | June 2026</t>
  </si>
  <si>
    <t xml:space="preserve">Baseline — Paper vs Ours</t>
  </si>
  <si>
    <t xml:space="preserve">Benchmark</t>
  </si>
  <si>
    <t xml:space="preserve">Paper</t>
  </si>
  <si>
    <t xml:space="preserve">Ours</t>
  </si>
  <si>
    <t xml:space="preserve">Δ</t>
  </si>
  <si>
    <t xml:space="preserve">GQA</t>
  </si>
  <si>
    <t xml:space="preserve">MME (Perception)</t>
  </si>
  <si>
    <t xml:space="preserve">MMBench-EN (dev)</t>
  </si>
  <si>
    <t xml:space="preserve">POPE</t>
  </si>
  <si>
    <t xml:space="preserve">SQA (ScienceQA-IMG)</t>
  </si>
  <si>
    <t xml:space="preserve">BTP (128 tokens) — Paper vs Ours</t>
  </si>
  <si>
    <t xml:space="preserve">Extra Benchmarks (not in paper Table 1)</t>
  </si>
  <si>
    <t xml:space="preserve">Our Baseline</t>
  </si>
  <si>
    <t xml:space="preserve">Our BTP</t>
  </si>
  <si>
    <t xml:space="preserve">TextVQA (val, no OCR)</t>
  </si>
  <si>
    <t xml:space="preserve">SEED-Bench (image)</t>
  </si>
  <si>
    <t xml:space="preserve">MME (Cognition)</t>
  </si>
  <si>
    <t xml:space="preserve">Job</t>
  </si>
  <si>
    <t xml:space="preserve">Mode</t>
  </si>
  <si>
    <t xml:space="preserve">Task</t>
  </si>
  <si>
    <t xml:space="preserve">Eval time (s)</t>
  </si>
  <si>
    <t xml:space="preserve">Result file</t>
  </si>
  <si>
    <t xml:space="preserve">baseline</t>
  </si>
  <si>
    <t xml:space="preserve">pope</t>
  </si>
  <si>
    <t xml:space="preserve">20260612_005058_results.json</t>
  </si>
  <si>
    <t xml:space="preserve">mme</t>
  </si>
  <si>
    <t xml:space="preserve">20260612_010821_results.json</t>
  </si>
  <si>
    <t xml:space="preserve">mmbench_en_dev</t>
  </si>
  <si>
    <t xml:space="preserve">20260612_011546_results.json</t>
  </si>
  <si>
    <t xml:space="preserve">textvqa_val</t>
  </si>
  <si>
    <t xml:space="preserve">20260612_012644_results.json</t>
  </si>
  <si>
    <t xml:space="preserve">gqa</t>
  </si>
  <si>
    <t xml:space="preserve">20260612_014620_results.json</t>
  </si>
  <si>
    <t xml:space="preserve">seedbench</t>
  </si>
  <si>
    <t xml:space="preserve">20260612_022257_results.json</t>
  </si>
  <si>
    <t xml:space="preserve">scienceqa_img</t>
  </si>
  <si>
    <t xml:space="preserve">20260612_120641_results.json</t>
  </si>
  <si>
    <t xml:space="preserve">BTP</t>
  </si>
  <si>
    <t xml:space="preserve">20260612_050148_results.json</t>
  </si>
  <si>
    <t xml:space="preserve">20260612_053034_results.json</t>
  </si>
  <si>
    <t xml:space="preserve">20260612_054017_results.json</t>
  </si>
  <si>
    <t xml:space="preserve">20260612_055410_results.json</t>
  </si>
  <si>
    <t xml:space="preserve">20260612_061907_results.json</t>
  </si>
  <si>
    <t xml:space="preserve">20260612_070306_results.json</t>
  </si>
  <si>
    <t xml:space="preserve">20260612_121210_results.json</t>
  </si>
  <si>
    <t xml:space="preserve">LLaVA-v1.5-13B — Paper vs Ours</t>
  </si>
  <si>
    <t xml:space="preserve">IIT Jodhpur HPC, A100-40GB, FlashAttention-2, full datasets</t>
  </si>
  <si>
    <t xml:space="preserve">Qwen2.5-VL-7B-Instruct — Paper vs Ours</t>
  </si>
  <si>
    <t xml:space="preserve">IIT Jodhpur HPC, A100-40GB, FlashAttention-2, full datasets | BTP retention 25%/12.5%</t>
  </si>
  <si>
    <t xml:space="preserve">BTP (25% / 12.5%) — Paper vs Ours</t>
  </si>
  <si>
    <t xml:space="preserve">TextVQA (val)</t>
  </si>
  <si>
    <t xml:space="preserve">Note: SQA — our 88.1/85.1 exceeds paper 76.7/74.1; Qwen2.5-VL is very strong on ScienceQA, likely a prompt/variant difference.</t>
  </si>
  <si>
    <t xml:space="preserve">Note: Full Qwen sweep exceeds 10h SLURM walltime (TIMEOUT on first run); SEED+TextVQA BTP rerun separately.</t>
  </si>
  <si>
    <t xml:space="preserve">Note: SEED/TextVQA BTP on 2000-sample subset. TextVQA-BTP 23.6 (vs baseline 82.7) confirmed across 2 runs - aggressive pruning removes fine-grained tokens needed to read in-image text.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</si>
</sst>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E2F3"/>
        <bgColor rgb="FFCCFFFF"/>
      </patternFill>
    </fill>
    <fill>
      <patternFill patternType="solid">
        <fgColor rgb="FF1F4E79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3" min="2" style="1" width="12"/>
    <col collapsed="false" customWidth="true" hidden="false" outlineLevel="0" max="4" min="4" style="1" width="1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/>
      <c r="C4" s="4"/>
      <c r="D4" s="4"/>
    </row>
    <row r="5" customFormat="false" ht="1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</row>
    <row r="6" customFormat="false" ht="15" hidden="false" customHeight="true" outlineLevel="0" collapsed="false">
      <c r="A6" s="6" t="s">
        <v>7</v>
      </c>
      <c r="B6" s="7" t="n">
        <v>62</v>
      </c>
      <c r="C6" s="7" t="n">
        <v>61.98</v>
      </c>
      <c r="D6" s="7" t="n">
        <f aca="false">C6-B6</f>
        <v>-0.0200000000000031</v>
      </c>
    </row>
    <row r="7" customFormat="false" ht="15" hidden="false" customHeight="true" outlineLevel="0" collapsed="false">
      <c r="A7" s="6" t="s">
        <v>8</v>
      </c>
      <c r="B7" s="7" t="n">
        <v>1510.7</v>
      </c>
      <c r="C7" s="7" t="n">
        <v>1507.5</v>
      </c>
      <c r="D7" s="7" t="n">
        <f aca="false">C7-B7</f>
        <v>-3.20000000000005</v>
      </c>
    </row>
    <row r="8" customFormat="false" ht="15" hidden="false" customHeight="true" outlineLevel="0" collapsed="false">
      <c r="A8" s="6" t="s">
        <v>9</v>
      </c>
      <c r="B8" s="7" t="n">
        <v>64.3</v>
      </c>
      <c r="C8" s="7" t="n">
        <v>64</v>
      </c>
      <c r="D8" s="7" t="n">
        <f aca="false">C8-B8</f>
        <v>-0.299999999999997</v>
      </c>
    </row>
    <row r="9" customFormat="false" ht="15" hidden="false" customHeight="true" outlineLevel="0" collapsed="false">
      <c r="A9" s="6" t="s">
        <v>10</v>
      </c>
      <c r="B9" s="7" t="n">
        <v>85.8</v>
      </c>
      <c r="C9" s="7" t="n">
        <v>86.98</v>
      </c>
      <c r="D9" s="7" t="n">
        <f aca="false">C9-B9</f>
        <v>1.18000000000001</v>
      </c>
    </row>
    <row r="10" customFormat="false" ht="15" hidden="false" customHeight="true" outlineLevel="0" collapsed="false">
      <c r="A10" s="6" t="s">
        <v>11</v>
      </c>
      <c r="B10" s="7" t="n">
        <v>69.4</v>
      </c>
      <c r="C10" s="7" t="n">
        <v>69.41</v>
      </c>
      <c r="D10" s="7" t="n">
        <f aca="false">C10-B10</f>
        <v>0.00999999999999091</v>
      </c>
    </row>
    <row r="12" customFormat="false" ht="15" hidden="false" customHeight="true" outlineLevel="0" collapsed="false">
      <c r="A12" s="4" t="s">
        <v>12</v>
      </c>
      <c r="B12" s="4"/>
      <c r="C12" s="4"/>
      <c r="D12" s="4"/>
    </row>
    <row r="13" customFormat="false" ht="15" hidden="false" customHeight="true" outlineLevel="0" collapsed="false">
      <c r="A13" s="5" t="s">
        <v>3</v>
      </c>
      <c r="B13" s="5" t="s">
        <v>4</v>
      </c>
      <c r="C13" s="5" t="s">
        <v>5</v>
      </c>
      <c r="D13" s="5" t="s">
        <v>6</v>
      </c>
    </row>
    <row r="14" customFormat="false" ht="15" hidden="false" customHeight="true" outlineLevel="0" collapsed="false">
      <c r="A14" s="6" t="s">
        <v>7</v>
      </c>
      <c r="B14" s="7" t="n">
        <v>59</v>
      </c>
      <c r="C14" s="7" t="n">
        <v>58.98</v>
      </c>
      <c r="D14" s="7" t="n">
        <f aca="false">C14-B14</f>
        <v>-0.0200000000000031</v>
      </c>
    </row>
    <row r="15" customFormat="false" ht="15" hidden="false" customHeight="true" outlineLevel="0" collapsed="false">
      <c r="A15" s="6" t="s">
        <v>8</v>
      </c>
      <c r="B15" s="7" t="n">
        <v>1487</v>
      </c>
      <c r="C15" s="7" t="n">
        <v>1497.2</v>
      </c>
      <c r="D15" s="7" t="n">
        <f aca="false">C15-B15</f>
        <v>10.2</v>
      </c>
    </row>
    <row r="16" customFormat="false" ht="15" hidden="false" customHeight="true" outlineLevel="0" collapsed="false">
      <c r="A16" s="6" t="s">
        <v>9</v>
      </c>
      <c r="B16" s="7" t="n">
        <v>62.7</v>
      </c>
      <c r="C16" s="7" t="n">
        <v>63.49</v>
      </c>
      <c r="D16" s="7" t="n">
        <f aca="false">C16-B16</f>
        <v>0.789999999999999</v>
      </c>
    </row>
    <row r="17" customFormat="false" ht="15" hidden="false" customHeight="true" outlineLevel="0" collapsed="false">
      <c r="A17" s="6" t="s">
        <v>10</v>
      </c>
      <c r="B17" s="7" t="n">
        <v>85.6</v>
      </c>
      <c r="C17" s="7" t="n">
        <v>85.36</v>
      </c>
      <c r="D17" s="7" t="n">
        <f aca="false">C17-B17</f>
        <v>-0.239999999999995</v>
      </c>
    </row>
    <row r="18" customFormat="false" ht="15" hidden="false" customHeight="true" outlineLevel="0" collapsed="false">
      <c r="A18" s="6" t="s">
        <v>11</v>
      </c>
      <c r="B18" s="7" t="n">
        <v>69.1</v>
      </c>
      <c r="C18" s="7" t="n">
        <v>69.21</v>
      </c>
      <c r="D18" s="7" t="n">
        <f aca="false">C18-B18</f>
        <v>0.109999999999999</v>
      </c>
    </row>
    <row r="20" customFormat="false" ht="15" hidden="false" customHeight="true" outlineLevel="0" collapsed="false">
      <c r="A20" s="4" t="s">
        <v>13</v>
      </c>
      <c r="B20" s="4"/>
      <c r="C20" s="4"/>
      <c r="D20" s="4"/>
    </row>
    <row r="21" customFormat="false" ht="15" hidden="false" customHeight="true" outlineLevel="0" collapsed="false">
      <c r="A21" s="5" t="s">
        <v>3</v>
      </c>
      <c r="B21" s="5" t="s">
        <v>14</v>
      </c>
      <c r="C21" s="5" t="s">
        <v>15</v>
      </c>
    </row>
    <row r="22" customFormat="false" ht="15" hidden="false" customHeight="true" outlineLevel="0" collapsed="false">
      <c r="A22" s="6" t="s">
        <v>16</v>
      </c>
      <c r="B22" s="7" t="n">
        <v>46.11</v>
      </c>
      <c r="C22" s="7" t="n">
        <v>40.02</v>
      </c>
    </row>
    <row r="23" customFormat="false" ht="15" hidden="false" customHeight="true" outlineLevel="0" collapsed="false">
      <c r="A23" s="6" t="s">
        <v>17</v>
      </c>
      <c r="B23" s="7" t="n">
        <v>66.23</v>
      </c>
      <c r="C23" s="7" t="n">
        <v>63.99</v>
      </c>
    </row>
    <row r="24" customFormat="false" ht="15" hidden="false" customHeight="true" outlineLevel="0" collapsed="false">
      <c r="A24" s="6" t="s">
        <v>18</v>
      </c>
      <c r="B24" s="7" t="n">
        <v>355.7</v>
      </c>
      <c r="C24" s="7" t="n">
        <v>351.4</v>
      </c>
    </row>
  </sheetData>
  <mergeCells count="3">
    <mergeCell ref="A4:D4"/>
    <mergeCell ref="A12:D12"/>
    <mergeCell ref="A20:D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customHeight="false" zeroHeight="false" outlineLevelRow="0" outlineLevelCol="0"/>
  <cols>
    <col collapsed="false" customWidth="true" hidden="false" outlineLevel="0" max="2" min="1" style="1" width="10"/>
    <col collapsed="false" customWidth="true" hidden="false" outlineLevel="0" max="3" min="3" style="1" width="18"/>
    <col collapsed="false" customWidth="true" hidden="false" outlineLevel="0" max="4" min="4" style="1" width="14"/>
    <col collapsed="false" customWidth="true" hidden="false" outlineLevel="0" max="5" min="5" style="1" width="34"/>
  </cols>
  <sheetData>
    <row r="1" customFormat="false" ht="15" hidden="false" customHeight="true" outlineLevel="0" collapsed="false">
      <c r="A1" s="8" t="s">
        <v>19</v>
      </c>
      <c r="B1" s="8" t="s">
        <v>20</v>
      </c>
      <c r="C1" s="8" t="s">
        <v>21</v>
      </c>
      <c r="D1" s="8" t="s">
        <v>22</v>
      </c>
      <c r="E1" s="8" t="s">
        <v>23</v>
      </c>
    </row>
    <row r="2" customFormat="false" ht="15" hidden="false" customHeight="true" outlineLevel="0" collapsed="false">
      <c r="A2" s="9" t="n">
        <v>343354</v>
      </c>
      <c r="B2" s="9" t="s">
        <v>24</v>
      </c>
      <c r="C2" s="9" t="s">
        <v>25</v>
      </c>
      <c r="D2" s="9" t="n">
        <v>1028</v>
      </c>
      <c r="E2" s="9" t="s">
        <v>26</v>
      </c>
    </row>
    <row r="3" customFormat="false" ht="15" hidden="false" customHeight="true" outlineLevel="0" collapsed="false">
      <c r="A3" s="9" t="n">
        <v>343354</v>
      </c>
      <c r="B3" s="9" t="s">
        <v>24</v>
      </c>
      <c r="C3" s="9" t="s">
        <v>27</v>
      </c>
      <c r="D3" s="9" t="n">
        <v>430</v>
      </c>
      <c r="E3" s="9" t="s">
        <v>28</v>
      </c>
    </row>
    <row r="4" customFormat="false" ht="15" hidden="false" customHeight="true" outlineLevel="0" collapsed="false">
      <c r="A4" s="9" t="n">
        <v>343354</v>
      </c>
      <c r="B4" s="9" t="s">
        <v>24</v>
      </c>
      <c r="C4" s="9" t="s">
        <v>29</v>
      </c>
      <c r="D4" s="9" t="n">
        <v>643</v>
      </c>
      <c r="E4" s="9" t="s">
        <v>30</v>
      </c>
    </row>
    <row r="5" customFormat="false" ht="15" hidden="false" customHeight="true" outlineLevel="0" collapsed="false">
      <c r="A5" s="9" t="n">
        <v>343354</v>
      </c>
      <c r="B5" s="9" t="s">
        <v>24</v>
      </c>
      <c r="C5" s="9" t="s">
        <v>31</v>
      </c>
      <c r="D5" s="9" t="n">
        <v>1161</v>
      </c>
      <c r="E5" s="9" t="s">
        <v>32</v>
      </c>
    </row>
    <row r="6" customFormat="false" ht="15" hidden="false" customHeight="true" outlineLevel="0" collapsed="false">
      <c r="A6" s="9" t="n">
        <v>343354</v>
      </c>
      <c r="B6" s="9" t="s">
        <v>24</v>
      </c>
      <c r="C6" s="9" t="s">
        <v>33</v>
      </c>
      <c r="D6" s="9" t="n">
        <v>2182</v>
      </c>
      <c r="E6" s="9" t="s">
        <v>34</v>
      </c>
    </row>
    <row r="7" customFormat="false" ht="15" hidden="false" customHeight="true" outlineLevel="0" collapsed="false">
      <c r="A7" s="9" t="n">
        <v>343354</v>
      </c>
      <c r="B7" s="9" t="s">
        <v>24</v>
      </c>
      <c r="C7" s="9" t="s">
        <v>35</v>
      </c>
      <c r="D7" s="9" t="n">
        <v>9510</v>
      </c>
      <c r="E7" s="9" t="s">
        <v>36</v>
      </c>
    </row>
    <row r="8" customFormat="false" ht="15" hidden="false" customHeight="true" outlineLevel="0" collapsed="false">
      <c r="A8" s="9" t="n">
        <v>343427</v>
      </c>
      <c r="B8" s="9" t="s">
        <v>24</v>
      </c>
      <c r="C8" s="9" t="s">
        <v>37</v>
      </c>
      <c r="D8" s="9" t="n">
        <v>311</v>
      </c>
      <c r="E8" s="9" t="s">
        <v>38</v>
      </c>
    </row>
    <row r="9" customFormat="false" ht="15" hidden="false" customHeight="true" outlineLevel="0" collapsed="false">
      <c r="A9" s="9" t="n">
        <v>343355</v>
      </c>
      <c r="B9" s="9" t="s">
        <v>39</v>
      </c>
      <c r="C9" s="9" t="s">
        <v>25</v>
      </c>
      <c r="D9" s="9" t="n">
        <v>1710</v>
      </c>
      <c r="E9" s="9" t="s">
        <v>40</v>
      </c>
    </row>
    <row r="10" customFormat="false" ht="15" hidden="false" customHeight="true" outlineLevel="0" collapsed="false">
      <c r="A10" s="9" t="n">
        <v>343355</v>
      </c>
      <c r="B10" s="9" t="s">
        <v>39</v>
      </c>
      <c r="C10" s="9" t="s">
        <v>27</v>
      </c>
      <c r="D10" s="9" t="n">
        <v>569</v>
      </c>
      <c r="E10" s="9" t="s">
        <v>41</v>
      </c>
    </row>
    <row r="11" customFormat="false" ht="15" hidden="false" customHeight="true" outlineLevel="0" collapsed="false">
      <c r="A11" s="9" t="n">
        <v>343355</v>
      </c>
      <c r="B11" s="9" t="s">
        <v>39</v>
      </c>
      <c r="C11" s="9" t="s">
        <v>29</v>
      </c>
      <c r="D11" s="9" t="n">
        <v>818</v>
      </c>
      <c r="E11" s="9" t="s">
        <v>42</v>
      </c>
    </row>
    <row r="12" customFormat="false" ht="15" hidden="false" customHeight="true" outlineLevel="0" collapsed="false">
      <c r="A12" s="9" t="n">
        <v>343355</v>
      </c>
      <c r="B12" s="9" t="s">
        <v>39</v>
      </c>
      <c r="C12" s="9" t="s">
        <v>31</v>
      </c>
      <c r="D12" s="9" t="n">
        <v>1481</v>
      </c>
      <c r="E12" s="9" t="s">
        <v>43</v>
      </c>
    </row>
    <row r="13" customFormat="false" ht="15" hidden="false" customHeight="true" outlineLevel="0" collapsed="false">
      <c r="A13" s="9" t="n">
        <v>343355</v>
      </c>
      <c r="B13" s="9" t="s">
        <v>39</v>
      </c>
      <c r="C13" s="9" t="s">
        <v>33</v>
      </c>
      <c r="D13" s="9" t="n">
        <v>2623</v>
      </c>
      <c r="E13" s="9" t="s">
        <v>44</v>
      </c>
    </row>
    <row r="14" customFormat="false" ht="15" hidden="false" customHeight="true" outlineLevel="0" collapsed="false">
      <c r="A14" s="9" t="n">
        <v>343355</v>
      </c>
      <c r="B14" s="9" t="s">
        <v>39</v>
      </c>
      <c r="C14" s="9" t="s">
        <v>35</v>
      </c>
      <c r="D14" s="9" t="n">
        <v>6256</v>
      </c>
      <c r="E14" s="9" t="s">
        <v>45</v>
      </c>
    </row>
    <row r="15" customFormat="false" ht="15" hidden="false" customHeight="true" outlineLevel="0" collapsed="false">
      <c r="A15" s="9" t="n">
        <v>343428</v>
      </c>
      <c r="B15" s="9" t="s">
        <v>39</v>
      </c>
      <c r="C15" s="9" t="s">
        <v>37</v>
      </c>
      <c r="D15" s="9" t="n">
        <v>400</v>
      </c>
      <c r="E15" s="9" t="s"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3" min="2" style="1" width="12"/>
    <col collapsed="false" customWidth="true" hidden="false" outlineLevel="0" max="4" min="4" style="1" width="10"/>
  </cols>
  <sheetData>
    <row r="1" customFormat="false" ht="17.25" hidden="false" customHeight="true" outlineLevel="0" collapsed="false">
      <c r="A1" s="2" t="s">
        <v>47</v>
      </c>
    </row>
    <row r="2" customFormat="false" ht="15" hidden="false" customHeight="true" outlineLevel="0" collapsed="false">
      <c r="A2" s="3" t="s">
        <v>48</v>
      </c>
    </row>
    <row r="4" customFormat="false" ht="15" hidden="false" customHeight="true" outlineLevel="0" collapsed="false">
      <c r="A4" s="4" t="s">
        <v>2</v>
      </c>
      <c r="B4" s="4"/>
      <c r="C4" s="4"/>
      <c r="D4" s="4"/>
    </row>
    <row r="5" customFormat="false" ht="1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</row>
    <row r="6" customFormat="false" ht="15" hidden="false" customHeight="true" outlineLevel="0" collapsed="false">
      <c r="A6" s="6" t="s">
        <v>7</v>
      </c>
      <c r="B6" s="7" t="n">
        <v>63.2</v>
      </c>
      <c r="C6" s="7" t="n">
        <v>63.3</v>
      </c>
      <c r="D6" s="7" t="n">
        <f aca="false">IF(B6="","",C6-B6)</f>
        <v>0.0999999999999943</v>
      </c>
    </row>
    <row r="7" customFormat="false" ht="15" hidden="false" customHeight="true" outlineLevel="0" collapsed="false">
      <c r="A7" s="6" t="s">
        <v>8</v>
      </c>
      <c r="B7" s="7" t="n">
        <v>1521.7</v>
      </c>
      <c r="C7" s="7" t="n">
        <v>1521.71</v>
      </c>
      <c r="D7" s="7" t="n">
        <f aca="false">IF(B7="","",C7-B7)</f>
        <v>0.00999999999999091</v>
      </c>
    </row>
    <row r="8" customFormat="false" ht="15" hidden="false" customHeight="true" outlineLevel="0" collapsed="false">
      <c r="A8" s="6" t="s">
        <v>9</v>
      </c>
      <c r="B8" s="7" t="n">
        <v>68.8</v>
      </c>
      <c r="C8" s="7" t="n">
        <v>68.81</v>
      </c>
      <c r="D8" s="7" t="n">
        <f aca="false">IF(B8="","",C8-B8)</f>
        <v>0.0100000000000051</v>
      </c>
    </row>
    <row r="9" customFormat="false" ht="15" hidden="false" customHeight="true" outlineLevel="0" collapsed="false">
      <c r="A9" s="6" t="s">
        <v>10</v>
      </c>
      <c r="B9" s="7" t="n">
        <v>87</v>
      </c>
      <c r="C9" s="7" t="n">
        <v>87.1</v>
      </c>
      <c r="D9" s="7" t="n">
        <f aca="false">IF(B9="","",C9-B9)</f>
        <v>0.0999999999999943</v>
      </c>
    </row>
    <row r="10" customFormat="false" ht="15" hidden="false" customHeight="true" outlineLevel="0" collapsed="false">
      <c r="A10" s="6" t="s">
        <v>11</v>
      </c>
      <c r="B10" s="7" t="n">
        <v>72.7</v>
      </c>
      <c r="C10" s="7" t="n">
        <v>72.8</v>
      </c>
      <c r="D10" s="7" t="n">
        <f aca="false">IF(B10="","",C10-B10)</f>
        <v>0.0999999999999943</v>
      </c>
    </row>
    <row r="12" customFormat="false" ht="15" hidden="false" customHeight="true" outlineLevel="0" collapsed="false">
      <c r="A12" s="4" t="s">
        <v>12</v>
      </c>
      <c r="B12" s="4"/>
      <c r="C12" s="4"/>
      <c r="D12" s="4"/>
    </row>
    <row r="13" customFormat="false" ht="15" hidden="false" customHeight="true" outlineLevel="0" collapsed="false">
      <c r="A13" s="5" t="s">
        <v>3</v>
      </c>
      <c r="B13" s="5" t="s">
        <v>4</v>
      </c>
      <c r="C13" s="5" t="s">
        <v>5</v>
      </c>
      <c r="D13" s="5" t="s">
        <v>6</v>
      </c>
    </row>
    <row r="14" customFormat="false" ht="15" hidden="false" customHeight="true" outlineLevel="0" collapsed="false">
      <c r="A14" s="6" t="s">
        <v>7</v>
      </c>
      <c r="B14" s="7" t="n">
        <v>62.2</v>
      </c>
      <c r="C14" s="7" t="n">
        <v>60.7</v>
      </c>
      <c r="D14" s="7" t="n">
        <f aca="false">IF(B14="","",C14-B14)</f>
        <v>-1.5</v>
      </c>
    </row>
    <row r="15" customFormat="false" ht="15" hidden="false" customHeight="true" outlineLevel="0" collapsed="false">
      <c r="A15" s="6" t="s">
        <v>8</v>
      </c>
      <c r="B15" s="7" t="n">
        <v>1519.7</v>
      </c>
      <c r="C15" s="7" t="n">
        <v>1536.34</v>
      </c>
      <c r="D15" s="7" t="n">
        <f aca="false">IF(B15="","",C15-B15)</f>
        <v>16.6399999999999</v>
      </c>
    </row>
    <row r="16" customFormat="false" ht="15" hidden="false" customHeight="true" outlineLevel="0" collapsed="false">
      <c r="A16" s="6" t="s">
        <v>9</v>
      </c>
      <c r="B16" s="7" t="n">
        <v>68</v>
      </c>
      <c r="C16" s="7" t="n">
        <v>67.27</v>
      </c>
      <c r="D16" s="7" t="n">
        <f aca="false">IF(B16="","",C16-B16)</f>
        <v>-0.730000000000004</v>
      </c>
    </row>
    <row r="17" customFormat="false" ht="15" hidden="false" customHeight="true" outlineLevel="0" collapsed="false">
      <c r="A17" s="6" t="s">
        <v>10</v>
      </c>
      <c r="B17" s="7" t="n">
        <v>86.9</v>
      </c>
      <c r="C17" s="7" t="n">
        <v>86.3</v>
      </c>
      <c r="D17" s="7" t="n">
        <f aca="false">IF(B17="","",C17-B17)</f>
        <v>-0.600000000000009</v>
      </c>
    </row>
    <row r="18" customFormat="false" ht="15" hidden="false" customHeight="true" outlineLevel="0" collapsed="false">
      <c r="A18" s="6" t="s">
        <v>11</v>
      </c>
      <c r="B18" s="7" t="n">
        <v>72.7</v>
      </c>
      <c r="C18" s="7" t="n">
        <v>72.9</v>
      </c>
      <c r="D18" s="7" t="n">
        <f aca="false">IF(B18="","",C18-B18)</f>
        <v>0.200000000000003</v>
      </c>
    </row>
    <row r="20" customFormat="false" ht="15" hidden="false" customHeight="true" outlineLevel="0" collapsed="false">
      <c r="A20" s="4" t="s">
        <v>13</v>
      </c>
      <c r="B20" s="4"/>
      <c r="C20" s="4"/>
    </row>
    <row r="21" customFormat="false" ht="15" hidden="false" customHeight="true" outlineLevel="0" collapsed="false">
      <c r="A21" s="5" t="s">
        <v>3</v>
      </c>
      <c r="B21" s="5" t="s">
        <v>14</v>
      </c>
      <c r="C21" s="5" t="s">
        <v>15</v>
      </c>
    </row>
    <row r="22" customFormat="false" ht="15" hidden="false" customHeight="true" outlineLevel="0" collapsed="false">
      <c r="A22" s="6" t="s">
        <v>16</v>
      </c>
      <c r="B22" s="7" t="n">
        <v>48.8</v>
      </c>
      <c r="C22" s="7" t="n">
        <v>41.2</v>
      </c>
    </row>
    <row r="23" customFormat="false" ht="15" hidden="false" customHeight="true" outlineLevel="0" collapsed="false">
      <c r="A23" s="6" t="s">
        <v>17</v>
      </c>
      <c r="B23" s="7" t="n">
        <v>68.2</v>
      </c>
      <c r="C23" s="7" t="n">
        <v>66.3</v>
      </c>
    </row>
    <row r="24" customFormat="false" ht="15" hidden="false" customHeight="true" outlineLevel="0" collapsed="false">
      <c r="A24" s="6" t="s">
        <v>18</v>
      </c>
      <c r="B24" s="7" t="n">
        <v>295.36</v>
      </c>
      <c r="C24" s="7" t="n">
        <v>287.5</v>
      </c>
    </row>
  </sheetData>
  <mergeCells count="3">
    <mergeCell ref="A4:D4"/>
    <mergeCell ref="A12:D12"/>
    <mergeCell ref="A20:C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3" min="2" style="0" width="12"/>
    <col collapsed="false" customWidth="true" hidden="false" outlineLevel="0" max="4" min="4" style="0" width="10"/>
  </cols>
  <sheetData>
    <row r="1" customFormat="false" ht="17.35" hidden="false" customHeight="false" outlineLevel="0" collapsed="false">
      <c r="A1" s="10" t="s">
        <v>49</v>
      </c>
    </row>
    <row r="2" customFormat="false" ht="15" hidden="false" customHeight="false" outlineLevel="0" collapsed="false">
      <c r="A2" s="11" t="s">
        <v>50</v>
      </c>
    </row>
    <row r="4" customFormat="false" ht="15" hidden="false" customHeight="false" outlineLevel="0" collapsed="false">
      <c r="A4" s="12" t="s">
        <v>2</v>
      </c>
      <c r="B4" s="12"/>
      <c r="C4" s="12"/>
      <c r="D4" s="12"/>
    </row>
    <row r="5" customFormat="false" ht="15" hidden="false" customHeight="false" outlineLevel="0" collapsed="false">
      <c r="A5" s="5" t="s">
        <v>3</v>
      </c>
      <c r="B5" s="5" t="s">
        <v>4</v>
      </c>
      <c r="C5" s="5" t="s">
        <v>5</v>
      </c>
      <c r="D5" s="5" t="s">
        <v>6</v>
      </c>
    </row>
    <row r="6" customFormat="false" ht="15" hidden="false" customHeight="false" outlineLevel="0" collapsed="false">
      <c r="A6" s="13" t="s">
        <v>7</v>
      </c>
      <c r="B6" s="7" t="n">
        <v>60.4</v>
      </c>
      <c r="C6" s="7" t="n">
        <v>60.9</v>
      </c>
      <c r="D6" s="14" t="n">
        <f aca="false">C6-B6</f>
        <v>0.5</v>
      </c>
    </row>
    <row r="7" customFormat="false" ht="15" hidden="false" customHeight="false" outlineLevel="0" collapsed="false">
      <c r="A7" s="13" t="s">
        <v>8</v>
      </c>
      <c r="B7" s="7" t="n">
        <v>1690.8</v>
      </c>
      <c r="C7" s="7" t="n">
        <v>1674.47</v>
      </c>
      <c r="D7" s="14" t="n">
        <f aca="false">C7-B7</f>
        <v>-16.3299999999999</v>
      </c>
    </row>
    <row r="8" customFormat="false" ht="15" hidden="false" customHeight="false" outlineLevel="0" collapsed="false">
      <c r="A8" s="13" t="s">
        <v>9</v>
      </c>
      <c r="B8" s="7" t="n">
        <v>82.5</v>
      </c>
      <c r="C8" s="7" t="n">
        <v>83.68</v>
      </c>
      <c r="D8" s="14" t="n">
        <f aca="false">C8-B8</f>
        <v>1.18000000000001</v>
      </c>
    </row>
    <row r="9" customFormat="false" ht="15" hidden="false" customHeight="false" outlineLevel="0" collapsed="false">
      <c r="A9" s="13" t="s">
        <v>10</v>
      </c>
      <c r="B9" s="7" t="n">
        <v>87.4</v>
      </c>
      <c r="C9" s="7" t="n">
        <v>87.6</v>
      </c>
      <c r="D9" s="14" t="n">
        <f aca="false">C9-B9</f>
        <v>0.199999999999989</v>
      </c>
    </row>
    <row r="10" customFormat="false" ht="15" hidden="false" customHeight="false" outlineLevel="0" collapsed="false">
      <c r="A10" s="13" t="s">
        <v>11</v>
      </c>
      <c r="B10" s="7" t="n">
        <v>76.7</v>
      </c>
      <c r="C10" s="7" t="n">
        <v>88.1</v>
      </c>
      <c r="D10" s="14" t="n">
        <f aca="false">C10-B10</f>
        <v>11.4</v>
      </c>
    </row>
    <row r="12" customFormat="false" ht="15" hidden="false" customHeight="false" outlineLevel="0" collapsed="false">
      <c r="A12" s="12" t="s">
        <v>51</v>
      </c>
      <c r="B12" s="12"/>
      <c r="C12" s="12"/>
      <c r="D12" s="12"/>
    </row>
    <row r="13" customFormat="false" ht="15" hidden="false" customHeight="false" outlineLevel="0" collapsed="false">
      <c r="A13" s="5" t="s">
        <v>3</v>
      </c>
      <c r="B13" s="5" t="s">
        <v>4</v>
      </c>
      <c r="C13" s="5" t="s">
        <v>5</v>
      </c>
      <c r="D13" s="5" t="s">
        <v>6</v>
      </c>
    </row>
    <row r="14" customFormat="false" ht="15" hidden="false" customHeight="false" outlineLevel="0" collapsed="false">
      <c r="A14" s="13" t="s">
        <v>7</v>
      </c>
      <c r="B14" s="7" t="n">
        <v>57.2</v>
      </c>
      <c r="C14" s="7" t="n">
        <v>55.9</v>
      </c>
      <c r="D14" s="14" t="n">
        <f aca="false">C14-B14</f>
        <v>-1.3</v>
      </c>
    </row>
    <row r="15" customFormat="false" ht="15" hidden="false" customHeight="false" outlineLevel="0" collapsed="false">
      <c r="A15" s="13" t="s">
        <v>8</v>
      </c>
      <c r="B15" s="7" t="n">
        <v>1651.5</v>
      </c>
      <c r="C15" s="7" t="n">
        <v>1658.67</v>
      </c>
      <c r="D15" s="14" t="n">
        <f aca="false">C15-B15</f>
        <v>7.17000000000007</v>
      </c>
    </row>
    <row r="16" customFormat="false" ht="15" hidden="false" customHeight="false" outlineLevel="0" collapsed="false">
      <c r="A16" s="13" t="s">
        <v>9</v>
      </c>
      <c r="B16" s="7" t="n">
        <v>75.2</v>
      </c>
      <c r="C16" s="7" t="n">
        <v>79.3</v>
      </c>
      <c r="D16" s="14" t="n">
        <f aca="false">C16-B16</f>
        <v>4.09999999999999</v>
      </c>
    </row>
    <row r="17" customFormat="false" ht="15" hidden="false" customHeight="false" outlineLevel="0" collapsed="false">
      <c r="A17" s="13" t="s">
        <v>10</v>
      </c>
      <c r="B17" s="7" t="n">
        <v>86.2</v>
      </c>
      <c r="C17" s="7" t="n">
        <v>86.2</v>
      </c>
      <c r="D17" s="14" t="n">
        <f aca="false">C17-B17</f>
        <v>0</v>
      </c>
    </row>
    <row r="18" customFormat="false" ht="15" hidden="false" customHeight="false" outlineLevel="0" collapsed="false">
      <c r="A18" s="13" t="s">
        <v>11</v>
      </c>
      <c r="B18" s="7" t="n">
        <v>74.1</v>
      </c>
      <c r="C18" s="7" t="n">
        <v>85.1</v>
      </c>
      <c r="D18" s="14" t="n">
        <f aca="false">C18-B18</f>
        <v>11</v>
      </c>
    </row>
    <row r="20" customFormat="false" ht="15" hidden="false" customHeight="false" outlineLevel="0" collapsed="false">
      <c r="A20" s="12" t="s">
        <v>13</v>
      </c>
      <c r="B20" s="12"/>
      <c r="C20" s="12"/>
    </row>
    <row r="21" customFormat="false" ht="15" hidden="false" customHeight="false" outlineLevel="0" collapsed="false">
      <c r="A21" s="5" t="s">
        <v>3</v>
      </c>
      <c r="B21" s="5" t="s">
        <v>14</v>
      </c>
      <c r="C21" s="5" t="s">
        <v>15</v>
      </c>
    </row>
    <row r="22" customFormat="false" ht="15" hidden="false" customHeight="false" outlineLevel="0" collapsed="false">
      <c r="A22" s="13" t="s">
        <v>52</v>
      </c>
      <c r="B22" s="7" t="n">
        <v>82.7</v>
      </c>
      <c r="C22" s="15" t="n">
        <v>23.6</v>
      </c>
    </row>
    <row r="23" customFormat="false" ht="15" hidden="false" customHeight="false" outlineLevel="0" collapsed="false">
      <c r="A23" s="13" t="s">
        <v>17</v>
      </c>
      <c r="B23" s="7" t="n">
        <v>77.5</v>
      </c>
      <c r="C23" s="15" t="n">
        <v>73.1</v>
      </c>
    </row>
    <row r="24" customFormat="false" ht="15" hidden="false" customHeight="false" outlineLevel="0" collapsed="false">
      <c r="A24" s="13" t="s">
        <v>18</v>
      </c>
      <c r="B24" s="7" t="n">
        <v>618.57</v>
      </c>
      <c r="C24" s="7" t="n">
        <v>557.14</v>
      </c>
    </row>
    <row r="26" customFormat="false" ht="15" hidden="false" customHeight="false" outlineLevel="0" collapsed="false">
      <c r="A26" s="16" t="s">
        <v>53</v>
      </c>
      <c r="B26" s="16"/>
      <c r="C26" s="16"/>
      <c r="D26" s="16"/>
    </row>
    <row r="27" customFormat="false" ht="15" hidden="false" customHeight="false" outlineLevel="0" collapsed="false">
      <c r="A27" s="16" t="s">
        <v>54</v>
      </c>
      <c r="B27" s="16"/>
      <c r="C27" s="16"/>
      <c r="D27" s="16"/>
    </row>
    <row r="28" customFormat="false" ht="15" hidden="false" customHeight="false" outlineLevel="0" collapsed="false">
      <c r="A28" s="16" t="s">
        <v>55</v>
      </c>
      <c r="B28" s="16"/>
      <c r="C28" s="16"/>
      <c r="D28" s="16"/>
    </row>
  </sheetData>
  <mergeCells count="6">
    <mergeCell ref="A4:D4"/>
    <mergeCell ref="A12:D12"/>
    <mergeCell ref="A20:C20"/>
    <mergeCell ref="A26:D26"/>
    <mergeCell ref="A27:D27"/>
    <mergeCell ref="A28:D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2026-06-12T16:37:25Z</dcterms:created>
  <dc:creator>openpyxl</dc:creator>
  <dc:description/>
  <dc:language>en-US</dc:language>
  <cp:lastModifiedBy>Subrahmanya Kedar Pantula</cp:lastModifiedBy>
  <dcterms:modified xsi:type="dcterms:W3CDTF">2026-06-17T09:42:57Z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