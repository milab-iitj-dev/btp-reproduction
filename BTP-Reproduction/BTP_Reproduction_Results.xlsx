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aper Comparison" sheetId="1" state="visible" r:id="rId3"/>
    <sheet name="Run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<sst xmlns="http://schemas.openxmlformats.org/spreadsheetml/2006/main" count="77" uniqueCount="58">
  <si>
    <t xml:space="preserve">BTP Reproduction — LLaVA-v1.5-7B Full-Dataset Results</t>
  </si>
  <si>
    <t xml:space="preserve">IIT Jodhpur HPC (A100-40GB, FlashAttention-2) | torch 2.3.0, transformers 4.40.0, flash_attn 2.7.4.post1 | Run: 2026-06-11/12 | P. S. Kedar</t>
  </si>
  <si>
    <t xml:space="preserve">Benchmark</t>
  </si>
  <si>
    <t xml:space="preserve">Paper Baseline</t>
  </si>
  <si>
    <t xml:space="preserve">Our Baseline</t>
  </si>
  <si>
    <t xml:space="preserve">Δ Baseline</t>
  </si>
  <si>
    <t xml:space="preserve">Paper BTP (128 tok)</t>
  </si>
  <si>
    <t xml:space="preserve">Our BTP</t>
  </si>
  <si>
    <t xml:space="preserve">Δ BTP</t>
  </si>
  <si>
    <t xml:space="preserve">Notes</t>
  </si>
  <si>
    <t xml:space="preserve">POPE</t>
  </si>
  <si>
    <t xml:space="preserve">MME Perception</t>
  </si>
  <si>
    <t xml:space="preserve">MME Cognition</t>
  </si>
  <si>
    <t xml:space="preserve">Not reported in paper Table 1</t>
  </si>
  <si>
    <t xml:space="preserve">MMBench-EN (dev)</t>
  </si>
  <si>
    <t xml:space="preserve">Paper reports MMBen</t>
  </si>
  <si>
    <t xml:space="preserve">GQA</t>
  </si>
  <si>
    <t xml:space="preserve">Repro gap 0.02</t>
  </si>
  <si>
    <t xml:space="preserve">TextVQA (val)</t>
  </si>
  <si>
    <t xml:space="preserve">Not in paper Table 1. lmms-eval default = no OCR tokens; LLaVA official 58.2 uses OCR prompt</t>
  </si>
  <si>
    <t xml:space="preserve">SEED-Bench (img)</t>
  </si>
  <si>
    <t xml:space="preserve">Not in paper Table 1</t>
  </si>
  <si>
    <t xml:space="preserve">SQA (ScienceQA-IMG)</t>
  </si>
  <si>
    <t xml:space="preserve">Repro gap 0.01 (base) / 0.11 (BTP)</t>
  </si>
  <si>
    <t xml:space="preserve">Key findings</t>
  </si>
  <si>
    <t xml:space="preserve">• Baseline reproduces paper within ~1 pt on all shared benchmarks (POPE +1.2, MME -3.2, MMBench -0.3, GQA -0.02).</t>
  </si>
  <si>
    <t xml:space="preserve">• BTP (default config = 128 retained tokens) reproduces paper within ~1 pt: GQA gap 0.02, POPE -0.24, MMBench +0.8, MME +10.2.</t>
  </si>
  <si>
    <t xml:space="preserve">• Earlier 36% POPE collapse (Kaggle T4) confirmed as environment issue: BTP requires FlashAttention-2 (Ampere+ GPU) and exact transformers 4.40.0 modeling file replacement; T4 SDPA fallback corrupted generation.</t>
  </si>
  <si>
    <t xml:space="preserve">• TextVQA gap vs LLaVA-reported 58.2 is a prompt-protocol difference (OCR tokens omitted by lmms-eval default), not a model issue; our no-OCR 46.1 matches known reference.</t>
  </si>
  <si>
    <t xml:space="preserve">• Pending for full parity with paper Table 1: SQA, MM-Vet (needs GPT judge). Efficiency (TFLOPS/latency) to be measured separately.</t>
  </si>
  <si>
    <t xml:space="preserve">Job</t>
  </si>
  <si>
    <t xml:space="preserve">Mode</t>
  </si>
  <si>
    <t xml:space="preserve">Task</t>
  </si>
  <si>
    <t xml:space="preserve">Eval time (s)</t>
  </si>
  <si>
    <t xml:space="preserve">Result file</t>
  </si>
  <si>
    <t xml:space="preserve">baseline</t>
  </si>
  <si>
    <t xml:space="preserve">pope</t>
  </si>
  <si>
    <t xml:space="preserve">20260612_005058_results.json</t>
  </si>
  <si>
    <t xml:space="preserve">mme</t>
  </si>
  <si>
    <t xml:space="preserve">20260612_010821_results.json</t>
  </si>
  <si>
    <t xml:space="preserve">mmbench_en_dev</t>
  </si>
  <si>
    <t xml:space="preserve">20260612_011546_results.json</t>
  </si>
  <si>
    <t xml:space="preserve">textvqa_val</t>
  </si>
  <si>
    <t xml:space="preserve">20260612_012644_results.json</t>
  </si>
  <si>
    <t xml:space="preserve">gqa</t>
  </si>
  <si>
    <t xml:space="preserve">20260612_014620_results.json</t>
  </si>
  <si>
    <t xml:space="preserve">seedbench</t>
  </si>
  <si>
    <t xml:space="preserve">20260612_022257_results.json</t>
  </si>
  <si>
    <t xml:space="preserve">BTP</t>
  </si>
  <si>
    <t xml:space="preserve">20260612_050148_results.json</t>
  </si>
  <si>
    <t xml:space="preserve">20260612_053034_results.json</t>
  </si>
  <si>
    <t xml:space="preserve">20260612_054017_results.json</t>
  </si>
  <si>
    <t xml:space="preserve">20260612_055410_results.json</t>
  </si>
  <si>
    <t xml:space="preserve">20260612_061907_results.json</t>
  </si>
  <si>
    <t xml:space="preserve">20260612_070306_results.json</t>
  </si>
  <si>
    <t xml:space="preserve">scienceqa_img</t>
  </si>
  <si>
    <t xml:space="preserve">sqa_baseline_343427.out</t>
  </si>
  <si>
    <t xml:space="preserve">sqa_btp_343428.out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</si>
</sst>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sz val="10"/>
      <name val="Arial"/>
      <family val="0"/>
      <charset val="1"/>
    </font>
    <font>
      <sz val="11"/>
      <color theme="1"/>
      <name val="Arial"/>
      <family val="2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7"/>
    <col collapsed="false" customWidth="true" hidden="false" outlineLevel="0" max="6" min="6" style="1" width="11"/>
    <col collapsed="false" customWidth="true" hidden="false" outlineLevel="0" max="7" min="7" style="1" width="9"/>
    <col collapsed="false" customWidth="true" hidden="false" outlineLevel="0" max="8" min="8" style="1" width="52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6" t="n">
        <v>85.8</v>
      </c>
      <c r="C5" s="7" t="n">
        <v>86.98</v>
      </c>
      <c r="D5" s="8" t="n">
        <f aca="false">IF(B5="","",C5-B5)</f>
        <v>1.18000000000001</v>
      </c>
      <c r="E5" s="6" t="n">
        <v>85.6</v>
      </c>
      <c r="F5" s="7" t="n">
        <v>85.36</v>
      </c>
      <c r="G5" s="8" t="n">
        <f aca="false">IF(E5="","",F5-E5)</f>
        <v>-0.239999999999995</v>
      </c>
      <c r="H5" s="9"/>
    </row>
    <row r="6" customFormat="false" ht="15" hidden="false" customHeight="true" outlineLevel="0" collapsed="false">
      <c r="A6" s="5" t="s">
        <v>11</v>
      </c>
      <c r="B6" s="6" t="n">
        <v>1510.7</v>
      </c>
      <c r="C6" s="7" t="n">
        <v>1507.5</v>
      </c>
      <c r="D6" s="8" t="n">
        <f aca="false">IF(B6="","",C6-B6)</f>
        <v>-3.20000000000005</v>
      </c>
      <c r="E6" s="6" t="n">
        <v>1487</v>
      </c>
      <c r="F6" s="7" t="n">
        <v>1497.2</v>
      </c>
      <c r="G6" s="8" t="n">
        <f aca="false">IF(E6="","",F6-E6)</f>
        <v>10.2</v>
      </c>
      <c r="H6" s="9"/>
    </row>
    <row r="7" customFormat="false" ht="15" hidden="false" customHeight="true" outlineLevel="0" collapsed="false">
      <c r="A7" s="5" t="s">
        <v>12</v>
      </c>
      <c r="B7" s="7"/>
      <c r="C7" s="7" t="n">
        <v>355.7</v>
      </c>
      <c r="D7" s="8" t="str">
        <f aca="false">IF(B7="","",C7-B7)</f>
        <v/>
      </c>
      <c r="E7" s="7"/>
      <c r="F7" s="7" t="n">
        <v>351.4</v>
      </c>
      <c r="G7" s="8" t="str">
        <f aca="false">IF(E7="","",F7-E7)</f>
        <v/>
      </c>
      <c r="H7" s="10" t="s">
        <v>13</v>
      </c>
    </row>
    <row r="8" customFormat="false" ht="15" hidden="false" customHeight="true" outlineLevel="0" collapsed="false">
      <c r="A8" s="5" t="s">
        <v>14</v>
      </c>
      <c r="B8" s="6" t="n">
        <v>64.3</v>
      </c>
      <c r="C8" s="7" t="n">
        <v>64</v>
      </c>
      <c r="D8" s="8" t="n">
        <f aca="false">IF(B8="","",C8-B8)</f>
        <v>-0.299999999999997</v>
      </c>
      <c r="E8" s="6" t="n">
        <v>62.7</v>
      </c>
      <c r="F8" s="7" t="n">
        <v>63.49</v>
      </c>
      <c r="G8" s="8" t="n">
        <f aca="false">IF(E8="","",F8-E8)</f>
        <v>0.789999999999999</v>
      </c>
      <c r="H8" s="10" t="s">
        <v>15</v>
      </c>
    </row>
    <row r="9" customFormat="false" ht="15" hidden="false" customHeight="true" outlineLevel="0" collapsed="false">
      <c r="A9" s="5" t="s">
        <v>16</v>
      </c>
      <c r="B9" s="6" t="n">
        <v>62</v>
      </c>
      <c r="C9" s="7" t="n">
        <v>61.98</v>
      </c>
      <c r="D9" s="8" t="n">
        <f aca="false">IF(B9="","",C9-B9)</f>
        <v>-0.0200000000000031</v>
      </c>
      <c r="E9" s="6" t="n">
        <v>59</v>
      </c>
      <c r="F9" s="7" t="n">
        <v>58.98</v>
      </c>
      <c r="G9" s="8" t="n">
        <f aca="false">IF(E9="","",F9-E9)</f>
        <v>-0.0200000000000031</v>
      </c>
      <c r="H9" s="10" t="s">
        <v>17</v>
      </c>
    </row>
    <row r="10" customFormat="false" ht="15" hidden="false" customHeight="true" outlineLevel="0" collapsed="false">
      <c r="A10" s="5" t="s">
        <v>18</v>
      </c>
      <c r="B10" s="7"/>
      <c r="C10" s="7" t="n">
        <v>46.11</v>
      </c>
      <c r="D10" s="8" t="str">
        <f aca="false">IF(B10="","",C10-B10)</f>
        <v/>
      </c>
      <c r="E10" s="7"/>
      <c r="F10" s="7" t="n">
        <v>40.02</v>
      </c>
      <c r="G10" s="8" t="str">
        <f aca="false">IF(E10="","",F10-E10)</f>
        <v/>
      </c>
      <c r="H10" s="10" t="s">
        <v>19</v>
      </c>
    </row>
    <row r="11" customFormat="false" ht="15" hidden="false" customHeight="true" outlineLevel="0" collapsed="false">
      <c r="A11" s="5" t="s">
        <v>20</v>
      </c>
      <c r="B11" s="7"/>
      <c r="C11" s="7" t="n">
        <v>66.23</v>
      </c>
      <c r="D11" s="8" t="str">
        <f aca="false">IF(B11="","",C11-B11)</f>
        <v/>
      </c>
      <c r="E11" s="7"/>
      <c r="F11" s="7" t="n">
        <v>63.99</v>
      </c>
      <c r="G11" s="8" t="str">
        <f aca="false">IF(E11="","",F11-E11)</f>
        <v/>
      </c>
      <c r="H11" s="10" t="s">
        <v>21</v>
      </c>
    </row>
    <row r="12" customFormat="false" ht="15" hidden="false" customHeight="false" outlineLevel="0" collapsed="false">
      <c r="A12" s="11" t="s">
        <v>22</v>
      </c>
      <c r="B12" s="6" t="n">
        <v>69.4</v>
      </c>
      <c r="C12" s="7" t="n">
        <v>69.41</v>
      </c>
      <c r="D12" s="7" t="n">
        <f aca="false">IF(B12="","",C12-B12)</f>
        <v>0.00999999999999091</v>
      </c>
      <c r="E12" s="6" t="n">
        <v>69.1</v>
      </c>
      <c r="F12" s="7" t="n">
        <v>69.21</v>
      </c>
      <c r="G12" s="7" t="n">
        <f aca="false">IF(E12="","",F12-E12)</f>
        <v>0.109999999999999</v>
      </c>
      <c r="H12" s="12" t="s">
        <v>23</v>
      </c>
    </row>
    <row r="13" customFormat="false" ht="15" hidden="false" customHeight="true" outlineLevel="0" collapsed="false"/>
    <row r="14" customFormat="false" ht="15" hidden="false" customHeight="true" outlineLevel="0" collapsed="false">
      <c r="A14" s="13" t="s">
        <v>24</v>
      </c>
      <c r="B14" s="13"/>
      <c r="C14" s="13"/>
      <c r="D14" s="13"/>
      <c r="E14" s="13"/>
      <c r="F14" s="13"/>
      <c r="G14" s="13"/>
      <c r="H14" s="13"/>
    </row>
    <row r="15" customFormat="false" ht="15" hidden="false" customHeight="true" outlineLevel="0" collapsed="false">
      <c r="A15" s="14" t="s">
        <v>25</v>
      </c>
      <c r="B15" s="14"/>
      <c r="C15" s="14"/>
      <c r="D15" s="14"/>
      <c r="E15" s="14"/>
      <c r="F15" s="14"/>
      <c r="G15" s="14"/>
      <c r="H15" s="14"/>
    </row>
    <row r="16" customFormat="false" ht="15" hidden="false" customHeight="true" outlineLevel="0" collapsed="false">
      <c r="A16" s="14" t="s">
        <v>26</v>
      </c>
      <c r="B16" s="14"/>
      <c r="C16" s="14"/>
      <c r="D16" s="14"/>
      <c r="E16" s="14"/>
      <c r="F16" s="14"/>
      <c r="G16" s="14"/>
      <c r="H16" s="14"/>
    </row>
    <row r="17" customFormat="false" ht="15" hidden="false" customHeight="true" outlineLevel="0" collapsed="false">
      <c r="A17" s="14" t="s">
        <v>27</v>
      </c>
      <c r="B17" s="14"/>
      <c r="C17" s="14"/>
      <c r="D17" s="14"/>
      <c r="E17" s="14"/>
      <c r="F17" s="14"/>
      <c r="G17" s="14"/>
      <c r="H17" s="14"/>
    </row>
    <row r="18" customFormat="false" ht="15" hidden="false" customHeight="true" outlineLevel="0" collapsed="false">
      <c r="A18" s="14" t="s">
        <v>28</v>
      </c>
      <c r="B18" s="14"/>
      <c r="C18" s="14"/>
      <c r="D18" s="14"/>
      <c r="E18" s="14"/>
      <c r="F18" s="14"/>
      <c r="G18" s="14"/>
      <c r="H18" s="14"/>
    </row>
    <row r="19" customFormat="false" ht="15" hidden="false" customHeight="false" outlineLevel="0" collapsed="false">
      <c r="A19" s="15" t="s">
        <v>29</v>
      </c>
    </row>
  </sheetData>
  <mergeCells count="5">
    <mergeCell ref="A14:H14"/>
    <mergeCell ref="A15:H15"/>
    <mergeCell ref="A16:H16"/>
    <mergeCell ref="A17:H17"/>
    <mergeCell ref="A18:H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0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34"/>
  </cols>
  <sheetData>
    <row r="1" customFormat="false" ht="15" hidden="false" customHeight="true" outlineLevel="0" collapsed="false">
      <c r="A1" s="16" t="s">
        <v>30</v>
      </c>
      <c r="B1" s="16" t="s">
        <v>31</v>
      </c>
      <c r="C1" s="16" t="s">
        <v>32</v>
      </c>
      <c r="D1" s="16" t="s">
        <v>33</v>
      </c>
      <c r="E1" s="16" t="s">
        <v>34</v>
      </c>
    </row>
    <row r="2" customFormat="false" ht="15" hidden="false" customHeight="true" outlineLevel="0" collapsed="false">
      <c r="A2" s="17" t="n">
        <v>343354</v>
      </c>
      <c r="B2" s="17" t="s">
        <v>35</v>
      </c>
      <c r="C2" s="17" t="s">
        <v>36</v>
      </c>
      <c r="D2" s="17" t="n">
        <v>1028</v>
      </c>
      <c r="E2" s="17" t="s">
        <v>37</v>
      </c>
    </row>
    <row r="3" customFormat="false" ht="15" hidden="false" customHeight="true" outlineLevel="0" collapsed="false">
      <c r="A3" s="17" t="n">
        <v>343354</v>
      </c>
      <c r="B3" s="17" t="s">
        <v>35</v>
      </c>
      <c r="C3" s="17" t="s">
        <v>38</v>
      </c>
      <c r="D3" s="17" t="n">
        <v>430</v>
      </c>
      <c r="E3" s="17" t="s">
        <v>39</v>
      </c>
    </row>
    <row r="4" customFormat="false" ht="15" hidden="false" customHeight="true" outlineLevel="0" collapsed="false">
      <c r="A4" s="17" t="n">
        <v>343354</v>
      </c>
      <c r="B4" s="17" t="s">
        <v>35</v>
      </c>
      <c r="C4" s="17" t="s">
        <v>40</v>
      </c>
      <c r="D4" s="17" t="n">
        <v>643</v>
      </c>
      <c r="E4" s="17" t="s">
        <v>41</v>
      </c>
    </row>
    <row r="5" customFormat="false" ht="15" hidden="false" customHeight="true" outlineLevel="0" collapsed="false">
      <c r="A5" s="17" t="n">
        <v>343354</v>
      </c>
      <c r="B5" s="17" t="s">
        <v>35</v>
      </c>
      <c r="C5" s="17" t="s">
        <v>42</v>
      </c>
      <c r="D5" s="17" t="n">
        <v>1161</v>
      </c>
      <c r="E5" s="17" t="s">
        <v>43</v>
      </c>
    </row>
    <row r="6" customFormat="false" ht="15" hidden="false" customHeight="true" outlineLevel="0" collapsed="false">
      <c r="A6" s="17" t="n">
        <v>343354</v>
      </c>
      <c r="B6" s="17" t="s">
        <v>35</v>
      </c>
      <c r="C6" s="17" t="s">
        <v>44</v>
      </c>
      <c r="D6" s="17" t="n">
        <v>2182</v>
      </c>
      <c r="E6" s="17" t="s">
        <v>45</v>
      </c>
    </row>
    <row r="7" customFormat="false" ht="15" hidden="false" customHeight="true" outlineLevel="0" collapsed="false">
      <c r="A7" s="17" t="n">
        <v>343354</v>
      </c>
      <c r="B7" s="17" t="s">
        <v>35</v>
      </c>
      <c r="C7" s="17" t="s">
        <v>46</v>
      </c>
      <c r="D7" s="17" t="n">
        <v>9510</v>
      </c>
      <c r="E7" s="17" t="s">
        <v>47</v>
      </c>
    </row>
    <row r="8" customFormat="false" ht="15" hidden="false" customHeight="true" outlineLevel="0" collapsed="false">
      <c r="A8" s="17" t="n">
        <v>343355</v>
      </c>
      <c r="B8" s="17" t="s">
        <v>48</v>
      </c>
      <c r="C8" s="17" t="s">
        <v>36</v>
      </c>
      <c r="D8" s="17" t="n">
        <v>1710</v>
      </c>
      <c r="E8" s="17" t="s">
        <v>49</v>
      </c>
    </row>
    <row r="9" customFormat="false" ht="15" hidden="false" customHeight="true" outlineLevel="0" collapsed="false">
      <c r="A9" s="17" t="n">
        <v>343355</v>
      </c>
      <c r="B9" s="17" t="s">
        <v>48</v>
      </c>
      <c r="C9" s="17" t="s">
        <v>38</v>
      </c>
      <c r="D9" s="17" t="n">
        <v>569</v>
      </c>
      <c r="E9" s="17" t="s">
        <v>50</v>
      </c>
    </row>
    <row r="10" customFormat="false" ht="15" hidden="false" customHeight="true" outlineLevel="0" collapsed="false">
      <c r="A10" s="17" t="n">
        <v>343355</v>
      </c>
      <c r="B10" s="17" t="s">
        <v>48</v>
      </c>
      <c r="C10" s="17" t="s">
        <v>40</v>
      </c>
      <c r="D10" s="17" t="n">
        <v>818</v>
      </c>
      <c r="E10" s="17" t="s">
        <v>51</v>
      </c>
    </row>
    <row r="11" customFormat="false" ht="15" hidden="false" customHeight="true" outlineLevel="0" collapsed="false">
      <c r="A11" s="17" t="n">
        <v>343355</v>
      </c>
      <c r="B11" s="17" t="s">
        <v>48</v>
      </c>
      <c r="C11" s="17" t="s">
        <v>42</v>
      </c>
      <c r="D11" s="17" t="n">
        <v>1481</v>
      </c>
      <c r="E11" s="17" t="s">
        <v>52</v>
      </c>
    </row>
    <row r="12" customFormat="false" ht="15" hidden="false" customHeight="true" outlineLevel="0" collapsed="false">
      <c r="A12" s="17" t="n">
        <v>343355</v>
      </c>
      <c r="B12" s="17" t="s">
        <v>48</v>
      </c>
      <c r="C12" s="17" t="s">
        <v>44</v>
      </c>
      <c r="D12" s="17" t="n">
        <v>2623</v>
      </c>
      <c r="E12" s="17" t="s">
        <v>53</v>
      </c>
    </row>
    <row r="13" customFormat="false" ht="15" hidden="false" customHeight="true" outlineLevel="0" collapsed="false">
      <c r="A13" s="17" t="n">
        <v>343355</v>
      </c>
      <c r="B13" s="17" t="s">
        <v>48</v>
      </c>
      <c r="C13" s="17" t="s">
        <v>46</v>
      </c>
      <c r="D13" s="17" t="n">
        <v>6256</v>
      </c>
      <c r="E13" s="17" t="s">
        <v>54</v>
      </c>
    </row>
    <row r="14" customFormat="false" ht="15" hidden="false" customHeight="false" outlineLevel="0" collapsed="false">
      <c r="A14" s="18" t="n">
        <v>343427</v>
      </c>
      <c r="B14" s="18" t="s">
        <v>35</v>
      </c>
      <c r="C14" s="18" t="s">
        <v>55</v>
      </c>
      <c r="D14" s="18"/>
      <c r="E14" s="18" t="s">
        <v>56</v>
      </c>
    </row>
    <row r="15" customFormat="false" ht="15" hidden="false" customHeight="false" outlineLevel="0" collapsed="false">
      <c r="A15" s="18" t="n">
        <v>343428</v>
      </c>
      <c r="B15" s="18" t="s">
        <v>48</v>
      </c>
      <c r="C15" s="18" t="s">
        <v>55</v>
      </c>
      <c r="D15" s="18"/>
      <c r="E15" s="18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2026-06-12T03:56:24Z</dcterms:created>
  <dc:creator>openpyxl</dc:creator>
  <dc:description/>
  <dc:language>en-US</dc:language>
  <cp:lastModifiedBy/>
  <dcterms:modified xsi:type="dcterms:W3CDTF">2026-06-12T04:21:12Z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