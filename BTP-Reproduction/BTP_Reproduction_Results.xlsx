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enchmark Summary" sheetId="1" state="visible" r:id="rId1"/>
    <sheet xmlns:r="http://schemas.openxmlformats.org/officeDocument/2006/relationships" name="LLaVA-1.5-7B" sheetId="2" state="visible" r:id="rId2"/>
    <sheet xmlns:r="http://schemas.openxmlformats.org/officeDocument/2006/relationships" name="Run Log" sheetId="3" state="visible" r:id="rId3"/>
    <sheet xmlns:r="http://schemas.openxmlformats.org/officeDocument/2006/relationships" name="LLaVA-1.5-13B" sheetId="4" state="visible" r:id="rId4"/>
    <sheet xmlns:r="http://schemas.openxmlformats.org/officeDocument/2006/relationships" name="Qwen2.5-VL-7B" sheetId="5" state="visible" r:id="rId5"/>
    <sheet xmlns:r="http://schemas.openxmlformats.org/officeDocument/2006/relationships" name="Efficiency (TFLOPs)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4E79"/>
      <sz val="22"/>
    </font>
    <font>
      <name val="Arial"/>
      <charset val="1"/>
      <family val="0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sz val="11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1F4E79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2F3"/>
        <bgColor rgb="FFC6EFCE"/>
      </patternFill>
    </fill>
    <fill>
      <patternFill patternType="solid">
        <fgColor rgb="001F4E7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2" fontId="14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3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2" fontId="14" fillId="0" borderId="1" applyAlignment="1" pivotButton="0" quotePrefix="0" xfId="0">
      <alignment horizontal="center" vertical="bottom"/>
    </xf>
    <xf numFmtId="0" fontId="15" fillId="0" borderId="0" pivotButton="0" quotePrefix="0" xfId="0"/>
    <xf numFmtId="0" fontId="16" fillId="0" borderId="0" pivotButton="0" quotePrefix="0" xfId="0"/>
    <xf numFmtId="0" fontId="17" fillId="4" borderId="2" applyAlignment="1" pivotButton="0" quotePrefix="0" xfId="0">
      <alignment horizontal="center"/>
    </xf>
    <xf numFmtId="0" fontId="18" fillId="0" borderId="2" pivotButton="0" quotePrefix="0" xfId="0"/>
    <xf numFmtId="2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20" min="1" max="1"/>
    <col width="12" customWidth="1" style="20" min="2" max="3"/>
    <col width="11" customWidth="1" style="20" min="4" max="4"/>
    <col width="9" customWidth="1" style="20" min="5" max="5"/>
    <col width="11" customWidth="1" style="20" min="6" max="6"/>
  </cols>
  <sheetData>
    <row r="1" ht="19.7" customHeight="1" s="21">
      <c r="A1" s="22" t="inlineStr">
        <is>
          <t>BTP Reproduction — Summary Dashboard</t>
        </is>
      </c>
    </row>
    <row r="2" ht="15" customHeight="1" s="21">
      <c r="A2" s="23" t="inlineStr">
        <is>
          <t>LLaVA-1.5-7B · LLaVA-1.5-13B · Qwen2.5-VL-7B | baseline + BTP vs paper</t>
        </is>
      </c>
    </row>
    <row r="4" ht="26.8" customHeight="1" s="21">
      <c r="A4" s="24" t="inlineStr">
        <is>
          <t>3</t>
        </is>
      </c>
      <c r="D4" s="24" t="inlineStr">
        <is>
          <t>2</t>
        </is>
      </c>
      <c r="G4" s="24" t="inlineStr">
        <is>
          <t>5 / 6</t>
        </is>
      </c>
      <c r="J4" s="24" t="inlineStr">
        <is>
          <t>&lt; 1 pt</t>
        </is>
      </c>
    </row>
    <row r="5" ht="15" customHeight="1" s="21">
      <c r="A5" s="25" t="inlineStr">
        <is>
          <t>Models reproduced</t>
        </is>
      </c>
      <c r="D5" s="25" t="inlineStr">
        <is>
          <t>Model families</t>
        </is>
      </c>
      <c r="G5" s="25" t="inlineStr">
        <is>
          <t>Core benchmarks</t>
        </is>
      </c>
      <c r="J5" s="25" t="inlineStr">
        <is>
          <t>Typical deviation</t>
        </is>
      </c>
    </row>
    <row r="8" ht="15" customHeight="1" s="21">
      <c r="A8" s="26" t="inlineStr">
        <is>
          <t>Model</t>
        </is>
      </c>
      <c r="B8" s="26" t="inlineStr">
        <is>
          <t>Benchmark</t>
        </is>
      </c>
      <c r="C8" s="26" t="inlineStr">
        <is>
          <t>Paper BTP</t>
        </is>
      </c>
      <c r="D8" s="26" t="inlineStr">
        <is>
          <t>Our BTP</t>
        </is>
      </c>
      <c r="E8" s="26" t="inlineStr">
        <is>
          <t>Δ</t>
        </is>
      </c>
      <c r="F8" s="26" t="inlineStr">
        <is>
          <t>Status</t>
        </is>
      </c>
    </row>
    <row r="9" ht="15" customHeight="1" s="21">
      <c r="A9" s="27" t="inlineStr">
        <is>
          <t>LLaVA-1.5-7B</t>
        </is>
      </c>
      <c r="B9" s="28" t="inlineStr">
        <is>
          <t>GQA</t>
        </is>
      </c>
      <c r="C9" s="29" t="n">
        <v>59</v>
      </c>
      <c r="D9" s="29" t="n">
        <v>58.98</v>
      </c>
      <c r="E9" s="29">
        <f>D9-C9</f>
        <v/>
      </c>
      <c r="F9" s="30">
        <f>IF(ABS(E9)&lt;=1,"Match",IF(ABS(E9)&lt;=3,"Close","Review"))</f>
        <v/>
      </c>
    </row>
    <row r="10" ht="15" customHeight="1" s="21">
      <c r="A10" s="27" t="n"/>
      <c r="B10" s="28" t="inlineStr">
        <is>
          <t>MME-P</t>
        </is>
      </c>
      <c r="C10" s="29" t="n">
        <v>1487</v>
      </c>
      <c r="D10" s="29" t="n">
        <v>1497.2</v>
      </c>
      <c r="E10" s="29">
        <f>D10-C10</f>
        <v/>
      </c>
      <c r="F10" s="30">
        <f>IF(ABS(E10)&lt;=1,"Match",IF(ABS(E10)&lt;=3,"Close","Review"))</f>
        <v/>
      </c>
    </row>
    <row r="11" ht="15" customHeight="1" s="21">
      <c r="A11" s="27" t="n"/>
      <c r="B11" s="28" t="inlineStr">
        <is>
          <t>MMBench</t>
        </is>
      </c>
      <c r="C11" s="29" t="n">
        <v>62.7</v>
      </c>
      <c r="D11" s="29" t="n">
        <v>63.49</v>
      </c>
      <c r="E11" s="29">
        <f>D11-C11</f>
        <v/>
      </c>
      <c r="F11" s="30">
        <f>IF(ABS(E11)&lt;=1,"Match",IF(ABS(E11)&lt;=3,"Close","Review"))</f>
        <v/>
      </c>
    </row>
    <row r="12" ht="15" customHeight="1" s="21">
      <c r="A12" s="27" t="n"/>
      <c r="B12" s="28" t="inlineStr">
        <is>
          <t>POPE</t>
        </is>
      </c>
      <c r="C12" s="29" t="n">
        <v>85.59999999999999</v>
      </c>
      <c r="D12" s="29" t="n">
        <v>85.36</v>
      </c>
      <c r="E12" s="29">
        <f>D12-C12</f>
        <v/>
      </c>
      <c r="F12" s="30">
        <f>IF(ABS(E12)&lt;=1,"Match",IF(ABS(E12)&lt;=3,"Close","Review"))</f>
        <v/>
      </c>
    </row>
    <row r="13" ht="15" customHeight="1" s="21">
      <c r="A13" s="27" t="n"/>
      <c r="B13" s="28" t="inlineStr">
        <is>
          <t>SQA</t>
        </is>
      </c>
      <c r="C13" s="29" t="n">
        <v>69.09999999999999</v>
      </c>
      <c r="D13" s="29" t="n">
        <v>69.20999999999999</v>
      </c>
      <c r="E13" s="29">
        <f>D13-C13</f>
        <v/>
      </c>
      <c r="F13" s="30">
        <f>IF(ABS(E13)&lt;=1,"Match",IF(ABS(E13)&lt;=3,"Close","Review"))</f>
        <v/>
      </c>
    </row>
    <row r="14" ht="15" customHeight="1" s="21">
      <c r="A14" s="27" t="inlineStr">
        <is>
          <t>LLaVA-1.5-13B</t>
        </is>
      </c>
      <c r="B14" s="28" t="inlineStr">
        <is>
          <t>GQA</t>
        </is>
      </c>
      <c r="C14" s="29" t="n">
        <v>62.2</v>
      </c>
      <c r="D14" s="29" t="n">
        <v>60.7</v>
      </c>
      <c r="E14" s="29">
        <f>D14-C14</f>
        <v/>
      </c>
      <c r="F14" s="30">
        <f>IF(ABS(E14)&lt;=1,"Match",IF(ABS(E14)&lt;=3,"Close","Review"))</f>
        <v/>
      </c>
    </row>
    <row r="15" ht="15" customHeight="1" s="21">
      <c r="A15" s="27" t="n"/>
      <c r="B15" s="28" t="inlineStr">
        <is>
          <t>MME-P</t>
        </is>
      </c>
      <c r="C15" s="29" t="n">
        <v>1519.7</v>
      </c>
      <c r="D15" s="29" t="n">
        <v>1536.3</v>
      </c>
      <c r="E15" s="29">
        <f>D15-C15</f>
        <v/>
      </c>
      <c r="F15" s="30">
        <f>IF(ABS(E15)&lt;=1,"Match",IF(ABS(E15)&lt;=3,"Close","Review"))</f>
        <v/>
      </c>
    </row>
    <row r="16" ht="15" customHeight="1" s="21">
      <c r="A16" s="27" t="n"/>
      <c r="B16" s="28" t="inlineStr">
        <is>
          <t>MMBench</t>
        </is>
      </c>
      <c r="C16" s="29" t="n">
        <v>68</v>
      </c>
      <c r="D16" s="29" t="n">
        <v>67.27</v>
      </c>
      <c r="E16" s="29">
        <f>D16-C16</f>
        <v/>
      </c>
      <c r="F16" s="30">
        <f>IF(ABS(E16)&lt;=1,"Match",IF(ABS(E16)&lt;=3,"Close","Review"))</f>
        <v/>
      </c>
    </row>
    <row r="17" ht="15" customHeight="1" s="21">
      <c r="A17" s="27" t="n"/>
      <c r="B17" s="28" t="inlineStr">
        <is>
          <t>POPE</t>
        </is>
      </c>
      <c r="C17" s="29" t="n">
        <v>86.90000000000001</v>
      </c>
      <c r="D17" s="29" t="n">
        <v>86.3</v>
      </c>
      <c r="E17" s="29">
        <f>D17-C17</f>
        <v/>
      </c>
      <c r="F17" s="30">
        <f>IF(ABS(E17)&lt;=1,"Match",IF(ABS(E17)&lt;=3,"Close","Review"))</f>
        <v/>
      </c>
    </row>
    <row r="18" ht="15" customHeight="1" s="21">
      <c r="A18" s="27" t="n"/>
      <c r="B18" s="28" t="inlineStr">
        <is>
          <t>SQA</t>
        </is>
      </c>
      <c r="C18" s="29" t="n">
        <v>72.7</v>
      </c>
      <c r="D18" s="29" t="n">
        <v>72.90000000000001</v>
      </c>
      <c r="E18" s="29">
        <f>D18-C18</f>
        <v/>
      </c>
      <c r="F18" s="30">
        <f>IF(ABS(E18)&lt;=1,"Match",IF(ABS(E18)&lt;=3,"Close","Review"))</f>
        <v/>
      </c>
    </row>
    <row r="19" ht="15" customHeight="1" s="21">
      <c r="A19" s="27" t="inlineStr">
        <is>
          <t>Qwen2.5-VL-7B</t>
        </is>
      </c>
      <c r="B19" s="28" t="inlineStr">
        <is>
          <t>GQA</t>
        </is>
      </c>
      <c r="C19" s="29" t="n">
        <v>57.2</v>
      </c>
      <c r="D19" s="29" t="n">
        <v>55.9</v>
      </c>
      <c r="E19" s="29">
        <f>D19-C19</f>
        <v/>
      </c>
      <c r="F19" s="30">
        <f>IF(ABS(E19)&lt;=1,"Match",IF(ABS(E19)&lt;=3,"Close","Review"))</f>
        <v/>
      </c>
    </row>
    <row r="20" ht="15" customHeight="1" s="21">
      <c r="A20" s="27" t="n"/>
      <c r="B20" s="28" t="inlineStr">
        <is>
          <t>MME-P</t>
        </is>
      </c>
      <c r="C20" s="29" t="n">
        <v>1651.5</v>
      </c>
      <c r="D20" s="29" t="n">
        <v>1658.7</v>
      </c>
      <c r="E20" s="29">
        <f>D20-C20</f>
        <v/>
      </c>
      <c r="F20" s="30">
        <f>IF(ABS(E20)&lt;=1,"Match",IF(ABS(E20)&lt;=3,"Close","Review"))</f>
        <v/>
      </c>
    </row>
    <row r="21" ht="15" customHeight="1" s="21">
      <c r="A21" s="27" t="n"/>
      <c r="B21" s="28" t="inlineStr">
        <is>
          <t>MMBench</t>
        </is>
      </c>
      <c r="C21" s="29" t="n">
        <v>75.2</v>
      </c>
      <c r="D21" s="29" t="n">
        <v>79.3</v>
      </c>
      <c r="E21" s="29">
        <f>D21-C21</f>
        <v/>
      </c>
      <c r="F21" s="30">
        <f>IF(ABS(E21)&lt;=1,"Match",IF(ABS(E21)&lt;=3,"Close","Review"))</f>
        <v/>
      </c>
    </row>
    <row r="22" ht="15" customHeight="1" s="21">
      <c r="A22" s="27" t="n"/>
      <c r="B22" s="28" t="inlineStr">
        <is>
          <t>POPE</t>
        </is>
      </c>
      <c r="C22" s="29" t="n">
        <v>86.2</v>
      </c>
      <c r="D22" s="29" t="n">
        <v>86.2</v>
      </c>
      <c r="E22" s="29">
        <f>D22-C22</f>
        <v/>
      </c>
      <c r="F22" s="30">
        <f>IF(ABS(E22)&lt;=1,"Match",IF(ABS(E22)&lt;=3,"Close","Review"))</f>
        <v/>
      </c>
    </row>
    <row r="23" ht="15" customHeight="1" s="21">
      <c r="A23" s="27" t="n"/>
      <c r="B23" s="28" t="inlineStr">
        <is>
          <t>SQA</t>
        </is>
      </c>
      <c r="C23" s="29" t="n">
        <v>74.09999999999999</v>
      </c>
      <c r="D23" s="29" t="n">
        <v>85.09999999999999</v>
      </c>
      <c r="E23" s="29">
        <f>D23-C23</f>
        <v/>
      </c>
      <c r="F23" s="30">
        <f>IF(ABS(E23)&lt;=1,"Match",IF(ABS(E23)&lt;=3,"Close","Review"))</f>
        <v/>
      </c>
    </row>
    <row r="25" ht="15" customHeight="1" s="21">
      <c r="A25" s="31" t="inlineStr">
        <is>
          <t>Match = within 1 pt · Close = within 3 pt · Review = beyond 3 pt. MME on 2000-pt scale (10 pt &lt; 1%).</t>
        </is>
      </c>
    </row>
  </sheetData>
  <conditionalFormatting sqref="E9:E23">
    <cfRule type="cellIs" rank="0" priority="2" equalAverage="0" operator="between" aboveAverage="0" dxfId="0" text="" percent="0" bottom="0">
      <formula>-1</formula>
      <formula>1</formula>
    </cfRule>
    <cfRule type="cellIs" rank="0" priority="3" equalAverage="0" operator="between" aboveAverage="0" dxfId="1" text="" percent="0" bottom="0">
      <formula>-3</formula>
      <formula>3</formula>
    </cfRule>
    <cfRule type="cellIs" rank="0" priority="4" equalAverage="0" operator="greaterThan" aboveAverage="0" dxfId="2" text="" percent="0" bottom="0">
      <formula>3</formula>
    </cfRule>
    <cfRule type="cellIs" rank="0" priority="5" equalAverage="0" operator="lessThan" aboveAverage="0" dxfId="2" text="" percent="0" bottom="0">
      <formula>-3</formula>
    </cfRule>
  </conditionalFormatting>
  <conditionalFormatting sqref="F9:F23">
    <cfRule type="cellIs" rank="0" priority="6" equalAverage="0" operator="equal" aboveAverage="0" dxfId="0" text="" percent="0" bottom="0">
      <formula>"Match"</formula>
    </cfRule>
    <cfRule type="cellIs" rank="0" priority="7" equalAverage="0" operator="equal" aboveAverage="0" dxfId="1" text="" percent="0" bottom="0">
      <formula>"Close"</formula>
    </cfRule>
    <cfRule type="cellIs" rank="0" priority="8" equalAverage="0" operator="equal" aboveAverage="0" dxfId="2" text="" percent="0" bottom="0">
      <formula>"Review"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customHeight="0" zeroHeight="0" outlineLevelRow="0"/>
  <cols>
    <col width="24" customWidth="1" style="20" min="1" max="1"/>
    <col width="12" customWidth="1" style="20" min="2" max="3"/>
    <col width="10" customWidth="1" style="20" min="4" max="4"/>
  </cols>
  <sheetData>
    <row r="1" ht="17.25" customHeight="1" s="21">
      <c r="A1" s="32" t="inlineStr">
        <is>
          <t>BTP Reproduction — LLaVA-v1.5-7B</t>
        </is>
      </c>
    </row>
    <row r="2" ht="15" customHeight="1" s="21">
      <c r="A2" s="31" t="inlineStr">
        <is>
          <t>IIT Jodhpur HPC, A100-40GB, FlashAttention-2, full datasets | June 2026</t>
        </is>
      </c>
    </row>
    <row r="4" ht="15" customHeight="1" s="21">
      <c r="A4" s="33" t="inlineStr">
        <is>
          <t>Baseline — Paper vs Ours</t>
        </is>
      </c>
    </row>
    <row r="5" ht="15" customHeight="1" s="21">
      <c r="A5" s="26" t="inlineStr">
        <is>
          <t>Benchmark</t>
        </is>
      </c>
      <c r="B5" s="26" t="inlineStr">
        <is>
          <t>Paper</t>
        </is>
      </c>
      <c r="C5" s="26" t="inlineStr">
        <is>
          <t>Ours</t>
        </is>
      </c>
      <c r="D5" s="26" t="inlineStr">
        <is>
          <t>Δ</t>
        </is>
      </c>
    </row>
    <row r="6" ht="15" customHeight="1" s="21">
      <c r="A6" s="34" t="inlineStr">
        <is>
          <t>GQA</t>
        </is>
      </c>
      <c r="B6" s="29" t="n">
        <v>62</v>
      </c>
      <c r="C6" s="29" t="n">
        <v>61.98</v>
      </c>
      <c r="D6" s="29">
        <f>C6-B6</f>
        <v/>
      </c>
    </row>
    <row r="7" ht="15" customHeight="1" s="21">
      <c r="A7" s="34" t="inlineStr">
        <is>
          <t>MME (Perception)</t>
        </is>
      </c>
      <c r="B7" s="29" t="n">
        <v>1510.7</v>
      </c>
      <c r="C7" s="29" t="n">
        <v>1507.5</v>
      </c>
      <c r="D7" s="29">
        <f>C7-B7</f>
        <v/>
      </c>
    </row>
    <row r="8" ht="15" customHeight="1" s="21">
      <c r="A8" s="34" t="inlineStr">
        <is>
          <t>MMBench-EN (dev)</t>
        </is>
      </c>
      <c r="B8" s="29" t="n">
        <v>64.3</v>
      </c>
      <c r="C8" s="29" t="n">
        <v>64</v>
      </c>
      <c r="D8" s="29">
        <f>C8-B8</f>
        <v/>
      </c>
    </row>
    <row r="9" ht="15" customHeight="1" s="21">
      <c r="A9" s="34" t="inlineStr">
        <is>
          <t>POPE</t>
        </is>
      </c>
      <c r="B9" s="29" t="n">
        <v>85.8</v>
      </c>
      <c r="C9" s="29" t="n">
        <v>86.98</v>
      </c>
      <c r="D9" s="29">
        <f>C9-B9</f>
        <v/>
      </c>
    </row>
    <row r="10" ht="15" customHeight="1" s="21">
      <c r="A10" s="34" t="inlineStr">
        <is>
          <t>SQA (ScienceQA-IMG)</t>
        </is>
      </c>
      <c r="B10" s="29" t="n">
        <v>69.40000000000001</v>
      </c>
      <c r="C10" s="29" t="n">
        <v>69.41</v>
      </c>
      <c r="D10" s="29">
        <f>C10-B10</f>
        <v/>
      </c>
    </row>
    <row r="12" ht="15" customHeight="1" s="21">
      <c r="A12" s="33" t="inlineStr">
        <is>
          <t>BTP (128 tokens) — Paper vs Ours</t>
        </is>
      </c>
    </row>
    <row r="13" ht="15" customHeight="1" s="21">
      <c r="A13" s="26" t="inlineStr">
        <is>
          <t>Benchmark</t>
        </is>
      </c>
      <c r="B13" s="26" t="inlineStr">
        <is>
          <t>Paper</t>
        </is>
      </c>
      <c r="C13" s="26" t="inlineStr">
        <is>
          <t>Ours</t>
        </is>
      </c>
      <c r="D13" s="26" t="inlineStr">
        <is>
          <t>Δ</t>
        </is>
      </c>
    </row>
    <row r="14" ht="15" customHeight="1" s="21">
      <c r="A14" s="34" t="inlineStr">
        <is>
          <t>GQA</t>
        </is>
      </c>
      <c r="B14" s="29" t="n">
        <v>59</v>
      </c>
      <c r="C14" s="29" t="n">
        <v>58.98</v>
      </c>
      <c r="D14" s="29">
        <f>C14-B14</f>
        <v/>
      </c>
    </row>
    <row r="15" ht="15" customHeight="1" s="21">
      <c r="A15" s="34" t="inlineStr">
        <is>
          <t>MME (Perception)</t>
        </is>
      </c>
      <c r="B15" s="29" t="n">
        <v>1487</v>
      </c>
      <c r="C15" s="29" t="n">
        <v>1497.2</v>
      </c>
      <c r="D15" s="29">
        <f>C15-B15</f>
        <v/>
      </c>
    </row>
    <row r="16" ht="15" customHeight="1" s="21">
      <c r="A16" s="34" t="inlineStr">
        <is>
          <t>MMBench-EN (dev)</t>
        </is>
      </c>
      <c r="B16" s="29" t="n">
        <v>62.7</v>
      </c>
      <c r="C16" s="29" t="n">
        <v>63.49</v>
      </c>
      <c r="D16" s="29">
        <f>C16-B16</f>
        <v/>
      </c>
    </row>
    <row r="17" ht="15" customHeight="1" s="21">
      <c r="A17" s="34" t="inlineStr">
        <is>
          <t>POPE</t>
        </is>
      </c>
      <c r="B17" s="29" t="n">
        <v>85.59999999999999</v>
      </c>
      <c r="C17" s="29" t="n">
        <v>85.36</v>
      </c>
      <c r="D17" s="29">
        <f>C17-B17</f>
        <v/>
      </c>
    </row>
    <row r="18" ht="15" customHeight="1" s="21">
      <c r="A18" s="34" t="inlineStr">
        <is>
          <t>SQA (ScienceQA-IMG)</t>
        </is>
      </c>
      <c r="B18" s="29" t="n">
        <v>69.09999999999999</v>
      </c>
      <c r="C18" s="29" t="n">
        <v>69.20999999999999</v>
      </c>
      <c r="D18" s="29">
        <f>C18-B18</f>
        <v/>
      </c>
    </row>
    <row r="20" ht="15" customHeight="1" s="21">
      <c r="A20" s="33" t="inlineStr">
        <is>
          <t>Extra Benchmarks (not in paper Table 1)</t>
        </is>
      </c>
    </row>
    <row r="21" ht="15" customHeight="1" s="21">
      <c r="A21" s="26" t="inlineStr">
        <is>
          <t>Benchmark</t>
        </is>
      </c>
      <c r="B21" s="26" t="inlineStr">
        <is>
          <t>Our Baseline</t>
        </is>
      </c>
      <c r="C21" s="26" t="inlineStr">
        <is>
          <t>Our BTP</t>
        </is>
      </c>
    </row>
    <row r="22" ht="15" customHeight="1" s="21">
      <c r="A22" s="34" t="inlineStr">
        <is>
          <t>TextVQA (val, no OCR)</t>
        </is>
      </c>
      <c r="B22" s="29" t="n">
        <v>46.11</v>
      </c>
      <c r="C22" s="29" t="n">
        <v>40.02</v>
      </c>
    </row>
    <row r="23" ht="15" customHeight="1" s="21">
      <c r="A23" s="34" t="inlineStr">
        <is>
          <t>SEED-Bench (image)</t>
        </is>
      </c>
      <c r="B23" s="29" t="n">
        <v>66.23</v>
      </c>
      <c r="C23" s="29" t="n">
        <v>63.99</v>
      </c>
    </row>
    <row r="24" ht="15" customHeight="1" s="21">
      <c r="A24" s="34" t="inlineStr">
        <is>
          <t>MME (Cognition)</t>
        </is>
      </c>
      <c r="B24" s="29" t="n">
        <v>355.7</v>
      </c>
      <c r="C24" s="29" t="n">
        <v>351.4</v>
      </c>
    </row>
  </sheetData>
  <mergeCells count="3">
    <mergeCell ref="A12:D12"/>
    <mergeCell ref="A4:D4"/>
    <mergeCell ref="A20:D20"/>
  </mergeCells>
  <conditionalFormatting sqref="D1:D24">
    <cfRule type="cellIs" rank="0" priority="2" equalAverage="0" operator="between" aboveAverage="0" dxfId="0" text="" percent="0" bottom="0">
      <formula>-1</formula>
      <formula>1</formula>
    </cfRule>
    <cfRule type="cellIs" rank="0" priority="3" equalAverage="0" operator="between" aboveAverage="0" dxfId="1" text="" percent="0" bottom="0">
      <formula>-3</formula>
      <formula>3</formula>
    </cfRule>
    <cfRule type="cellIs" rank="0" priority="4" equalAverage="0" operator="greaterThan" aboveAverage="0" dxfId="2" text="" percent="0" bottom="0">
      <formula>3</formula>
    </cfRule>
    <cfRule type="cellIs" rank="0" priority="5" equalAverage="0" operator="lessThan" aboveAverage="0" dxfId="2" text="" percent="0" bottom="0">
      <formula>-3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customHeight="0" zeroHeight="0" outlineLevelRow="0"/>
  <cols>
    <col width="10" customWidth="1" style="20" min="1" max="2"/>
    <col width="18" customWidth="1" style="20" min="3" max="3"/>
    <col width="14" customWidth="1" style="20" min="4" max="4"/>
    <col width="34" customWidth="1" style="20" min="5" max="5"/>
  </cols>
  <sheetData>
    <row r="1" ht="15" customHeight="1" s="21">
      <c r="A1" s="35" t="inlineStr">
        <is>
          <t>Job</t>
        </is>
      </c>
      <c r="B1" s="35" t="inlineStr">
        <is>
          <t>Mode</t>
        </is>
      </c>
      <c r="C1" s="35" t="inlineStr">
        <is>
          <t>Task</t>
        </is>
      </c>
      <c r="D1" s="35" t="inlineStr">
        <is>
          <t>Eval time (s)</t>
        </is>
      </c>
      <c r="E1" s="35" t="inlineStr">
        <is>
          <t>Result file</t>
        </is>
      </c>
    </row>
    <row r="2" ht="15" customHeight="1" s="21">
      <c r="A2" s="36" t="n">
        <v>343354</v>
      </c>
      <c r="B2" s="36" t="inlineStr">
        <is>
          <t>baseline</t>
        </is>
      </c>
      <c r="C2" s="36" t="inlineStr">
        <is>
          <t>pope</t>
        </is>
      </c>
      <c r="D2" s="36" t="n">
        <v>1028</v>
      </c>
      <c r="E2" s="36" t="inlineStr">
        <is>
          <t>20260612_005058_results.json</t>
        </is>
      </c>
    </row>
    <row r="3" ht="15" customHeight="1" s="21">
      <c r="A3" s="36" t="n">
        <v>343354</v>
      </c>
      <c r="B3" s="36" t="inlineStr">
        <is>
          <t>baseline</t>
        </is>
      </c>
      <c r="C3" s="36" t="inlineStr">
        <is>
          <t>mme</t>
        </is>
      </c>
      <c r="D3" s="36" t="n">
        <v>430</v>
      </c>
      <c r="E3" s="36" t="inlineStr">
        <is>
          <t>20260612_010821_results.json</t>
        </is>
      </c>
    </row>
    <row r="4" ht="15" customHeight="1" s="21">
      <c r="A4" s="36" t="n">
        <v>343354</v>
      </c>
      <c r="B4" s="36" t="inlineStr">
        <is>
          <t>baseline</t>
        </is>
      </c>
      <c r="C4" s="36" t="inlineStr">
        <is>
          <t>mmbench_en_dev</t>
        </is>
      </c>
      <c r="D4" s="36" t="n">
        <v>643</v>
      </c>
      <c r="E4" s="36" t="inlineStr">
        <is>
          <t>20260612_011546_results.json</t>
        </is>
      </c>
    </row>
    <row r="5" ht="15" customHeight="1" s="21">
      <c r="A5" s="36" t="n">
        <v>343354</v>
      </c>
      <c r="B5" s="36" t="inlineStr">
        <is>
          <t>baseline</t>
        </is>
      </c>
      <c r="C5" s="36" t="inlineStr">
        <is>
          <t>textvqa_val</t>
        </is>
      </c>
      <c r="D5" s="36" t="n">
        <v>1161</v>
      </c>
      <c r="E5" s="36" t="inlineStr">
        <is>
          <t>20260612_012644_results.json</t>
        </is>
      </c>
    </row>
    <row r="6" ht="15" customHeight="1" s="21">
      <c r="A6" s="36" t="n">
        <v>343354</v>
      </c>
      <c r="B6" s="36" t="inlineStr">
        <is>
          <t>baseline</t>
        </is>
      </c>
      <c r="C6" s="36" t="inlineStr">
        <is>
          <t>gqa</t>
        </is>
      </c>
      <c r="D6" s="36" t="n">
        <v>2182</v>
      </c>
      <c r="E6" s="36" t="inlineStr">
        <is>
          <t>20260612_014620_results.json</t>
        </is>
      </c>
    </row>
    <row r="7" ht="15" customHeight="1" s="21">
      <c r="A7" s="36" t="n">
        <v>343354</v>
      </c>
      <c r="B7" s="36" t="inlineStr">
        <is>
          <t>baseline</t>
        </is>
      </c>
      <c r="C7" s="36" t="inlineStr">
        <is>
          <t>seedbench</t>
        </is>
      </c>
      <c r="D7" s="36" t="n">
        <v>9510</v>
      </c>
      <c r="E7" s="36" t="inlineStr">
        <is>
          <t>20260612_022257_results.json</t>
        </is>
      </c>
    </row>
    <row r="8" ht="15" customHeight="1" s="21">
      <c r="A8" s="36" t="n">
        <v>343427</v>
      </c>
      <c r="B8" s="36" t="inlineStr">
        <is>
          <t>baseline</t>
        </is>
      </c>
      <c r="C8" s="36" t="inlineStr">
        <is>
          <t>scienceqa_img</t>
        </is>
      </c>
      <c r="D8" s="36" t="n">
        <v>311</v>
      </c>
      <c r="E8" s="36" t="inlineStr">
        <is>
          <t>20260612_120641_results.json</t>
        </is>
      </c>
    </row>
    <row r="9" ht="15" customHeight="1" s="21">
      <c r="A9" s="36" t="n">
        <v>343355</v>
      </c>
      <c r="B9" s="36" t="inlineStr">
        <is>
          <t>BTP</t>
        </is>
      </c>
      <c r="C9" s="36" t="inlineStr">
        <is>
          <t>pope</t>
        </is>
      </c>
      <c r="D9" s="36" t="n">
        <v>1710</v>
      </c>
      <c r="E9" s="36" t="inlineStr">
        <is>
          <t>20260612_050148_results.json</t>
        </is>
      </c>
    </row>
    <row r="10" ht="15" customHeight="1" s="21">
      <c r="A10" s="36" t="n">
        <v>343355</v>
      </c>
      <c r="B10" s="36" t="inlineStr">
        <is>
          <t>BTP</t>
        </is>
      </c>
      <c r="C10" s="36" t="inlineStr">
        <is>
          <t>mme</t>
        </is>
      </c>
      <c r="D10" s="36" t="n">
        <v>569</v>
      </c>
      <c r="E10" s="36" t="inlineStr">
        <is>
          <t>20260612_053034_results.json</t>
        </is>
      </c>
    </row>
    <row r="11" ht="15" customHeight="1" s="21">
      <c r="A11" s="36" t="n">
        <v>343355</v>
      </c>
      <c r="B11" s="36" t="inlineStr">
        <is>
          <t>BTP</t>
        </is>
      </c>
      <c r="C11" s="36" t="inlineStr">
        <is>
          <t>mmbench_en_dev</t>
        </is>
      </c>
      <c r="D11" s="36" t="n">
        <v>818</v>
      </c>
      <c r="E11" s="36" t="inlineStr">
        <is>
          <t>20260612_054017_results.json</t>
        </is>
      </c>
    </row>
    <row r="12" ht="15" customHeight="1" s="21">
      <c r="A12" s="36" t="n">
        <v>343355</v>
      </c>
      <c r="B12" s="36" t="inlineStr">
        <is>
          <t>BTP</t>
        </is>
      </c>
      <c r="C12" s="36" t="inlineStr">
        <is>
          <t>textvqa_val</t>
        </is>
      </c>
      <c r="D12" s="36" t="n">
        <v>1481</v>
      </c>
      <c r="E12" s="36" t="inlineStr">
        <is>
          <t>20260612_055410_results.json</t>
        </is>
      </c>
    </row>
    <row r="13" ht="15" customHeight="1" s="21">
      <c r="A13" s="36" t="n">
        <v>343355</v>
      </c>
      <c r="B13" s="36" t="inlineStr">
        <is>
          <t>BTP</t>
        </is>
      </c>
      <c r="C13" s="36" t="inlineStr">
        <is>
          <t>gqa</t>
        </is>
      </c>
      <c r="D13" s="36" t="n">
        <v>2623</v>
      </c>
      <c r="E13" s="36" t="inlineStr">
        <is>
          <t>20260612_061907_results.json</t>
        </is>
      </c>
    </row>
    <row r="14" ht="15" customHeight="1" s="21">
      <c r="A14" s="36" t="n">
        <v>343355</v>
      </c>
      <c r="B14" s="36" t="inlineStr">
        <is>
          <t>BTP</t>
        </is>
      </c>
      <c r="C14" s="36" t="inlineStr">
        <is>
          <t>seedbench</t>
        </is>
      </c>
      <c r="D14" s="36" t="n">
        <v>6256</v>
      </c>
      <c r="E14" s="36" t="inlineStr">
        <is>
          <t>20260612_070306_results.json</t>
        </is>
      </c>
    </row>
    <row r="15" ht="15" customHeight="1" s="21">
      <c r="A15" s="36" t="n">
        <v>343428</v>
      </c>
      <c r="B15" s="36" t="inlineStr">
        <is>
          <t>BTP</t>
        </is>
      </c>
      <c r="C15" s="36" t="inlineStr">
        <is>
          <t>scienceqa_img</t>
        </is>
      </c>
      <c r="D15" s="36" t="n">
        <v>400</v>
      </c>
      <c r="E15" s="36" t="inlineStr">
        <is>
          <t>20260612_121210_results.json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20" min="1" max="1"/>
    <col width="12" customWidth="1" style="20" min="2" max="3"/>
    <col width="10" customWidth="1" style="20" min="4" max="4"/>
  </cols>
  <sheetData>
    <row r="1" ht="17.25" customHeight="1" s="21">
      <c r="A1" s="32" t="inlineStr">
        <is>
          <t>LLaVA-v1.5-13B — Paper vs Ours</t>
        </is>
      </c>
    </row>
    <row r="2" ht="15" customHeight="1" s="21">
      <c r="A2" s="31" t="inlineStr">
        <is>
          <t>IIT Jodhpur HPC, A100-40GB, FlashAttention-2, full datasets</t>
        </is>
      </c>
    </row>
    <row r="4" ht="15" customHeight="1" s="21">
      <c r="A4" s="33" t="inlineStr">
        <is>
          <t>Baseline — Paper vs Ours</t>
        </is>
      </c>
    </row>
    <row r="5" ht="15" customHeight="1" s="21">
      <c r="A5" s="26" t="inlineStr">
        <is>
          <t>Benchmark</t>
        </is>
      </c>
      <c r="B5" s="26" t="inlineStr">
        <is>
          <t>Paper</t>
        </is>
      </c>
      <c r="C5" s="26" t="inlineStr">
        <is>
          <t>Ours</t>
        </is>
      </c>
      <c r="D5" s="26" t="inlineStr">
        <is>
          <t>Δ</t>
        </is>
      </c>
    </row>
    <row r="6" ht="15" customHeight="1" s="21">
      <c r="A6" s="34" t="inlineStr">
        <is>
          <t>GQA</t>
        </is>
      </c>
      <c r="B6" s="29" t="n">
        <v>63.2</v>
      </c>
      <c r="C6" s="29" t="n">
        <v>63.3</v>
      </c>
      <c r="D6" s="29">
        <f>IF(B6="","",C6-B6)</f>
        <v/>
      </c>
    </row>
    <row r="7" ht="15" customHeight="1" s="21">
      <c r="A7" s="34" t="inlineStr">
        <is>
          <t>MME (Perception)</t>
        </is>
      </c>
      <c r="B7" s="29" t="n">
        <v>1521.7</v>
      </c>
      <c r="C7" s="29" t="n">
        <v>1521.71</v>
      </c>
      <c r="D7" s="29">
        <f>IF(B7="","",C7-B7)</f>
        <v/>
      </c>
    </row>
    <row r="8" ht="15" customHeight="1" s="21">
      <c r="A8" s="34" t="inlineStr">
        <is>
          <t>MMBench-EN (dev)</t>
        </is>
      </c>
      <c r="B8" s="29" t="n">
        <v>68.8</v>
      </c>
      <c r="C8" s="29" t="n">
        <v>68.81</v>
      </c>
      <c r="D8" s="29">
        <f>IF(B8="","",C8-B8)</f>
        <v/>
      </c>
    </row>
    <row r="9" ht="15" customHeight="1" s="21">
      <c r="A9" s="34" t="inlineStr">
        <is>
          <t>POPE</t>
        </is>
      </c>
      <c r="B9" s="29" t="n">
        <v>87</v>
      </c>
      <c r="C9" s="29" t="n">
        <v>87.09999999999999</v>
      </c>
      <c r="D9" s="29">
        <f>IF(B9="","",C9-B9)</f>
        <v/>
      </c>
    </row>
    <row r="10" ht="15" customHeight="1" s="21">
      <c r="A10" s="34" t="inlineStr">
        <is>
          <t>SQA (ScienceQA-IMG)</t>
        </is>
      </c>
      <c r="B10" s="29" t="n">
        <v>72.7</v>
      </c>
      <c r="C10" s="29" t="n">
        <v>72.8</v>
      </c>
      <c r="D10" s="29">
        <f>IF(B10="","",C10-B10)</f>
        <v/>
      </c>
    </row>
    <row r="12" ht="15" customHeight="1" s="21">
      <c r="A12" s="33" t="inlineStr">
        <is>
          <t>BTP (128 tokens) — Paper vs Ours</t>
        </is>
      </c>
    </row>
    <row r="13" ht="15" customHeight="1" s="21">
      <c r="A13" s="26" t="inlineStr">
        <is>
          <t>Benchmark</t>
        </is>
      </c>
      <c r="B13" s="26" t="inlineStr">
        <is>
          <t>Paper</t>
        </is>
      </c>
      <c r="C13" s="26" t="inlineStr">
        <is>
          <t>Ours</t>
        </is>
      </c>
      <c r="D13" s="26" t="inlineStr">
        <is>
          <t>Δ</t>
        </is>
      </c>
    </row>
    <row r="14" ht="15" customHeight="1" s="21">
      <c r="A14" s="34" t="inlineStr">
        <is>
          <t>GQA</t>
        </is>
      </c>
      <c r="B14" s="29" t="n">
        <v>62.2</v>
      </c>
      <c r="C14" s="29" t="n">
        <v>60.7</v>
      </c>
      <c r="D14" s="29">
        <f>IF(B14="","",C14-B14)</f>
        <v/>
      </c>
    </row>
    <row r="15" ht="15" customHeight="1" s="21">
      <c r="A15" s="34" t="inlineStr">
        <is>
          <t>MME (Perception)</t>
        </is>
      </c>
      <c r="B15" s="29" t="n">
        <v>1519.7</v>
      </c>
      <c r="C15" s="29" t="n">
        <v>1536.34</v>
      </c>
      <c r="D15" s="29">
        <f>IF(B15="","",C15-B15)</f>
        <v/>
      </c>
    </row>
    <row r="16" ht="15" customHeight="1" s="21">
      <c r="A16" s="34" t="inlineStr">
        <is>
          <t>MMBench-EN (dev)</t>
        </is>
      </c>
      <c r="B16" s="29" t="n">
        <v>68</v>
      </c>
      <c r="C16" s="29" t="n">
        <v>67.27</v>
      </c>
      <c r="D16" s="29">
        <f>IF(B16="","",C16-B16)</f>
        <v/>
      </c>
    </row>
    <row r="17" ht="15" customHeight="1" s="21">
      <c r="A17" s="34" t="inlineStr">
        <is>
          <t>POPE</t>
        </is>
      </c>
      <c r="B17" s="29" t="n">
        <v>86.90000000000001</v>
      </c>
      <c r="C17" s="29" t="n">
        <v>86.3</v>
      </c>
      <c r="D17" s="29">
        <f>IF(B17="","",C17-B17)</f>
        <v/>
      </c>
    </row>
    <row r="18" ht="15" customHeight="1" s="21">
      <c r="A18" s="34" t="inlineStr">
        <is>
          <t>SQA (ScienceQA-IMG)</t>
        </is>
      </c>
      <c r="B18" s="29" t="n">
        <v>72.7</v>
      </c>
      <c r="C18" s="29" t="n">
        <v>72.90000000000001</v>
      </c>
      <c r="D18" s="29">
        <f>IF(B18="","",C18-B18)</f>
        <v/>
      </c>
    </row>
    <row r="20" ht="15" customHeight="1" s="21">
      <c r="A20" s="33" t="inlineStr">
        <is>
          <t>Extra Benchmarks (not in paper Table 1)</t>
        </is>
      </c>
    </row>
    <row r="21" ht="15" customHeight="1" s="21">
      <c r="A21" s="26" t="inlineStr">
        <is>
          <t>Benchmark</t>
        </is>
      </c>
      <c r="B21" s="26" t="inlineStr">
        <is>
          <t>Our Baseline</t>
        </is>
      </c>
      <c r="C21" s="26" t="inlineStr">
        <is>
          <t>Our BTP</t>
        </is>
      </c>
    </row>
    <row r="22" ht="15" customHeight="1" s="21">
      <c r="A22" s="34" t="inlineStr">
        <is>
          <t>TextVQA (val, no OCR)</t>
        </is>
      </c>
      <c r="B22" s="29" t="n">
        <v>48.8</v>
      </c>
      <c r="C22" s="29" t="n">
        <v>41.2</v>
      </c>
    </row>
    <row r="23" ht="15" customHeight="1" s="21">
      <c r="A23" s="34" t="inlineStr">
        <is>
          <t>SEED-Bench (image)</t>
        </is>
      </c>
      <c r="B23" s="29" t="n">
        <v>68.2</v>
      </c>
      <c r="C23" s="29" t="n">
        <v>66.3</v>
      </c>
    </row>
    <row r="24" ht="15" customHeight="1" s="21">
      <c r="A24" s="34" t="inlineStr">
        <is>
          <t>MME (Cognition)</t>
        </is>
      </c>
      <c r="B24" s="29" t="n">
        <v>295.36</v>
      </c>
      <c r="C24" s="29" t="n">
        <v>287.5</v>
      </c>
    </row>
  </sheetData>
  <mergeCells count="3">
    <mergeCell ref="A12:D12"/>
    <mergeCell ref="A20:C20"/>
    <mergeCell ref="A4:D4"/>
  </mergeCells>
  <conditionalFormatting sqref="D1:D24">
    <cfRule type="cellIs" rank="0" priority="2" equalAverage="0" operator="between" aboveAverage="0" dxfId="0" text="" percent="0" bottom="0">
      <formula>-1</formula>
      <formula>1</formula>
    </cfRule>
    <cfRule type="cellIs" rank="0" priority="3" equalAverage="0" operator="between" aboveAverage="0" dxfId="1" text="" percent="0" bottom="0">
      <formula>-3</formula>
      <formula>3</formula>
    </cfRule>
    <cfRule type="cellIs" rank="0" priority="4" equalAverage="0" operator="greaterThan" aboveAverage="0" dxfId="2" text="" percent="0" bottom="0">
      <formula>3</formula>
    </cfRule>
    <cfRule type="cellIs" rank="0" priority="5" equalAverage="0" operator="lessThan" aboveAverage="0" dxfId="2" text="" percent="0" bottom="0">
      <formula>-3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20" min="1" max="1"/>
    <col width="12" customWidth="1" style="20" min="2" max="3"/>
    <col width="10" customWidth="1" style="20" min="4" max="4"/>
  </cols>
  <sheetData>
    <row r="1" ht="17.25" customHeight="1" s="21">
      <c r="A1" s="32" t="inlineStr">
        <is>
          <t>Qwen2.5-VL-7B-Instruct — Paper vs Ours</t>
        </is>
      </c>
    </row>
    <row r="2" ht="15" customHeight="1" s="21">
      <c r="A2" s="31" t="inlineStr">
        <is>
          <t>IIT Jodhpur HPC, A100-40GB, FlashAttention-2, full datasets | BTP retention 25%/12.5%</t>
        </is>
      </c>
    </row>
    <row r="4" ht="15" customHeight="1" s="21">
      <c r="A4" s="33" t="inlineStr">
        <is>
          <t>Baseline — Paper vs Ours</t>
        </is>
      </c>
    </row>
    <row r="5" ht="15" customHeight="1" s="21">
      <c r="A5" s="26" t="inlineStr">
        <is>
          <t>Benchmark</t>
        </is>
      </c>
      <c r="B5" s="26" t="inlineStr">
        <is>
          <t>Paper</t>
        </is>
      </c>
      <c r="C5" s="26" t="inlineStr">
        <is>
          <t>Ours</t>
        </is>
      </c>
      <c r="D5" s="26" t="inlineStr">
        <is>
          <t>Δ</t>
        </is>
      </c>
    </row>
    <row r="6" ht="15" customHeight="1" s="21">
      <c r="A6" s="34" t="inlineStr">
        <is>
          <t>GQA</t>
        </is>
      </c>
      <c r="B6" s="29" t="n">
        <v>60.4</v>
      </c>
      <c r="C6" s="29" t="n">
        <v>60.9</v>
      </c>
      <c r="D6" s="30">
        <f>C6-B6</f>
        <v/>
      </c>
    </row>
    <row r="7" ht="15" customHeight="1" s="21">
      <c r="A7" s="34" t="inlineStr">
        <is>
          <t>MME (Perception)</t>
        </is>
      </c>
      <c r="B7" s="29" t="n">
        <v>1690.8</v>
      </c>
      <c r="C7" s="29" t="n">
        <v>1674.47</v>
      </c>
      <c r="D7" s="30">
        <f>C7-B7</f>
        <v/>
      </c>
    </row>
    <row r="8" ht="15" customHeight="1" s="21">
      <c r="A8" s="34" t="inlineStr">
        <is>
          <t>MMBench-EN (dev)</t>
        </is>
      </c>
      <c r="B8" s="29" t="n">
        <v>82.5</v>
      </c>
      <c r="C8" s="29" t="n">
        <v>83.68000000000001</v>
      </c>
      <c r="D8" s="30">
        <f>C8-B8</f>
        <v/>
      </c>
    </row>
    <row r="9" ht="15" customHeight="1" s="21">
      <c r="A9" s="34" t="inlineStr">
        <is>
          <t>POPE</t>
        </is>
      </c>
      <c r="B9" s="29" t="n">
        <v>87.40000000000001</v>
      </c>
      <c r="C9" s="29" t="n">
        <v>87.59999999999999</v>
      </c>
      <c r="D9" s="30">
        <f>C9-B9</f>
        <v/>
      </c>
    </row>
    <row r="10" ht="15" customHeight="1" s="21">
      <c r="A10" s="34" t="inlineStr">
        <is>
          <t>SQA (ScienceQA-IMG)</t>
        </is>
      </c>
      <c r="B10" s="29" t="n">
        <v>76.7</v>
      </c>
      <c r="C10" s="29" t="n">
        <v>88.09999999999999</v>
      </c>
      <c r="D10" s="30">
        <f>C10-B10</f>
        <v/>
      </c>
    </row>
    <row r="12" ht="15" customHeight="1" s="21">
      <c r="A12" s="33" t="inlineStr">
        <is>
          <t>BTP (25% / 12.5%) — Paper vs Ours</t>
        </is>
      </c>
    </row>
    <row r="13" ht="15" customHeight="1" s="21">
      <c r="A13" s="26" t="inlineStr">
        <is>
          <t>Benchmark</t>
        </is>
      </c>
      <c r="B13" s="26" t="inlineStr">
        <is>
          <t>Paper</t>
        </is>
      </c>
      <c r="C13" s="26" t="inlineStr">
        <is>
          <t>Ours</t>
        </is>
      </c>
      <c r="D13" s="26" t="inlineStr">
        <is>
          <t>Δ</t>
        </is>
      </c>
    </row>
    <row r="14" ht="15" customHeight="1" s="21">
      <c r="A14" s="34" t="inlineStr">
        <is>
          <t>GQA</t>
        </is>
      </c>
      <c r="B14" s="29" t="n">
        <v>57.2</v>
      </c>
      <c r="C14" s="29" t="n">
        <v>55.9</v>
      </c>
      <c r="D14" s="30">
        <f>C14-B14</f>
        <v/>
      </c>
    </row>
    <row r="15" ht="15" customHeight="1" s="21">
      <c r="A15" s="34" t="inlineStr">
        <is>
          <t>MME (Perception)</t>
        </is>
      </c>
      <c r="B15" s="29" t="n">
        <v>1651.5</v>
      </c>
      <c r="C15" s="29" t="n">
        <v>1658.67</v>
      </c>
      <c r="D15" s="30">
        <f>C15-B15</f>
        <v/>
      </c>
    </row>
    <row r="16" ht="15" customHeight="1" s="21">
      <c r="A16" s="34" t="inlineStr">
        <is>
          <t>MMBench-EN (dev)</t>
        </is>
      </c>
      <c r="B16" s="29" t="n">
        <v>75.2</v>
      </c>
      <c r="C16" s="29" t="n">
        <v>79.3</v>
      </c>
      <c r="D16" s="30">
        <f>C16-B16</f>
        <v/>
      </c>
    </row>
    <row r="17" ht="15" customHeight="1" s="21">
      <c r="A17" s="34" t="inlineStr">
        <is>
          <t>POPE</t>
        </is>
      </c>
      <c r="B17" s="29" t="n">
        <v>86.2</v>
      </c>
      <c r="C17" s="29" t="n">
        <v>86.2</v>
      </c>
      <c r="D17" s="30">
        <f>C17-B17</f>
        <v/>
      </c>
    </row>
    <row r="18" ht="15" customHeight="1" s="21">
      <c r="A18" s="34" t="inlineStr">
        <is>
          <t>SQA (ScienceQA-IMG)</t>
        </is>
      </c>
      <c r="B18" s="29" t="n">
        <v>74.09999999999999</v>
      </c>
      <c r="C18" s="29" t="n">
        <v>85.09999999999999</v>
      </c>
      <c r="D18" s="30">
        <f>C18-B18</f>
        <v/>
      </c>
    </row>
    <row r="20" ht="15" customHeight="1" s="21">
      <c r="A20" s="33" t="inlineStr">
        <is>
          <t>Extra Benchmarks (not in paper Table 1)</t>
        </is>
      </c>
    </row>
    <row r="21" ht="15" customHeight="1" s="21">
      <c r="A21" s="26" t="inlineStr">
        <is>
          <t>Benchmark</t>
        </is>
      </c>
      <c r="B21" s="26" t="inlineStr">
        <is>
          <t>Our Baseline</t>
        </is>
      </c>
      <c r="C21" s="26" t="inlineStr">
        <is>
          <t>Our BTP</t>
        </is>
      </c>
    </row>
    <row r="22" ht="15" customHeight="1" s="21">
      <c r="A22" s="34" t="inlineStr">
        <is>
          <t>TextVQA (val)</t>
        </is>
      </c>
      <c r="B22" s="29" t="n">
        <v>82.7</v>
      </c>
      <c r="C22" s="37" t="n">
        <v>23.6</v>
      </c>
    </row>
    <row r="23" ht="15" customHeight="1" s="21">
      <c r="A23" s="34" t="inlineStr">
        <is>
          <t>SEED-Bench (image)</t>
        </is>
      </c>
      <c r="B23" s="29" t="n">
        <v>77.5</v>
      </c>
      <c r="C23" s="37" t="n">
        <v>73.09999999999999</v>
      </c>
    </row>
    <row r="24" ht="15" customHeight="1" s="21">
      <c r="A24" s="34" t="inlineStr">
        <is>
          <t>MME (Cognition)</t>
        </is>
      </c>
      <c r="B24" s="29" t="n">
        <v>618.5700000000001</v>
      </c>
      <c r="C24" s="29" t="n">
        <v>557.14</v>
      </c>
    </row>
    <row r="26" ht="15" customHeight="1" s="21">
      <c r="A26" s="31" t="inlineStr">
        <is>
          <t>Note: SQA — our 88.1/85.1 exceeds paper 76.7/74.1; Qwen2.5-VL is very strong on ScienceQA, likely a prompt/variant difference.</t>
        </is>
      </c>
    </row>
    <row r="27" ht="15" customHeight="1" s="21">
      <c r="A27" s="31" t="inlineStr">
        <is>
          <t>Note: Full Qwen sweep exceeds 10h SLURM walltime (TIMEOUT on first run); SEED+TextVQA BTP rerun separately.</t>
        </is>
      </c>
    </row>
    <row r="28" ht="15" customHeight="1" s="21">
      <c r="A28" s="31" t="inlineStr">
        <is>
          <t>Note: SEED/TextVQA BTP on 2000-sample subset. TextVQA-BTP 23.6 (vs baseline 82.7) confirmed across 2 runs - aggressive pruning removes fine-grained tokens needed to read in-image text.</t>
        </is>
      </c>
    </row>
  </sheetData>
  <mergeCells count="6">
    <mergeCell ref="A27:D27"/>
    <mergeCell ref="A12:D12"/>
    <mergeCell ref="A4:D4"/>
    <mergeCell ref="A26:D26"/>
    <mergeCell ref="A28:D28"/>
    <mergeCell ref="A20:C20"/>
  </mergeCells>
  <conditionalFormatting sqref="D1:D28">
    <cfRule type="cellIs" rank="0" priority="2" equalAverage="0" operator="between" aboveAverage="0" dxfId="0" text="" percent="0" bottom="0">
      <formula>-1</formula>
      <formula>1</formula>
    </cfRule>
    <cfRule type="cellIs" rank="0" priority="3" equalAverage="0" operator="between" aboveAverage="0" dxfId="1" text="" percent="0" bottom="0">
      <formula>-3</formula>
      <formula>3</formula>
    </cfRule>
    <cfRule type="cellIs" rank="0" priority="4" equalAverage="0" operator="greaterThan" aboveAverage="0" dxfId="2" text="" percent="0" bottom="0">
      <formula>3</formula>
    </cfRule>
    <cfRule type="cellIs" rank="0" priority="5" equalAverage="0" operator="lessThan" aboveAverage="0" dxfId="2" text="" percent="0" bottom="0">
      <formula>-3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6" customWidth="1" style="21" min="1" max="1"/>
    <col width="13" customWidth="1" style="21" min="2" max="2"/>
    <col width="12" customWidth="1" style="21" min="3" max="3"/>
    <col width="12" customWidth="1" style="21" min="4" max="4"/>
    <col width="12" customWidth="1" style="21" min="5" max="5"/>
    <col width="15" customWidth="1" style="21" min="6" max="6"/>
    <col width="15" customWidth="1" style="21" min="7" max="7"/>
  </cols>
  <sheetData>
    <row r="1">
      <c r="A1" s="38" t="inlineStr">
        <is>
          <t>Computational Efficiency - TFLOPs Analysis</t>
        </is>
      </c>
    </row>
    <row r="2">
      <c r="A2" s="39" t="inlineStr">
        <is>
          <t>Analytical FLOPs (paper methodology). Absolute scale calibrated to paper 7B baseline; reduction ratios are independent.</t>
        </is>
      </c>
    </row>
    <row r="4">
      <c r="A4" s="40" t="inlineStr">
        <is>
          <t>Model</t>
        </is>
      </c>
      <c r="B4" s="40" t="inlineStr">
        <is>
          <t>Base (paper)</t>
        </is>
      </c>
      <c r="C4" s="40" t="inlineStr">
        <is>
          <t>Base (ours)</t>
        </is>
      </c>
      <c r="D4" s="40" t="inlineStr">
        <is>
          <t>BTP (paper)</t>
        </is>
      </c>
      <c r="E4" s="40" t="inlineStr">
        <is>
          <t>BTP (ours)</t>
        </is>
      </c>
      <c r="F4" s="40" t="inlineStr">
        <is>
          <t>Reduction (ours)</t>
        </is>
      </c>
      <c r="G4" s="40" t="inlineStr">
        <is>
          <t>Reduction (paper)</t>
        </is>
      </c>
    </row>
    <row r="5">
      <c r="A5" s="41" t="inlineStr">
        <is>
          <t>LLaVA-1.5-7B</t>
        </is>
      </c>
      <c r="B5" s="42" t="n">
        <v>3.82</v>
      </c>
      <c r="C5" s="42" t="n">
        <v>3.82</v>
      </c>
      <c r="D5" s="42" t="n">
        <v>0.85</v>
      </c>
      <c r="E5" s="42" t="n">
        <v>1.03</v>
      </c>
      <c r="F5" s="43" t="inlineStr">
        <is>
          <t>72.9%</t>
        </is>
      </c>
      <c r="G5" s="43" t="inlineStr">
        <is>
          <t>~78%</t>
        </is>
      </c>
    </row>
    <row r="6">
      <c r="A6" s="41" t="inlineStr">
        <is>
          <t>LLaVA-1.5-13B</t>
        </is>
      </c>
      <c r="B6" s="42" t="n">
        <v>7.44</v>
      </c>
      <c r="C6" s="42" t="n">
        <v>7.48</v>
      </c>
      <c r="D6" s="42" t="n">
        <v>1.68</v>
      </c>
      <c r="E6" s="42" t="n">
        <v>1.79</v>
      </c>
      <c r="F6" s="43" t="inlineStr">
        <is>
          <t>76.0%</t>
        </is>
      </c>
      <c r="G6" s="43" t="inlineStr">
        <is>
          <t>~78%</t>
        </is>
      </c>
    </row>
    <row r="8">
      <c r="A8" s="39" t="inlineStr">
        <is>
          <t>BTP FLOPs slightly conservative vs paper (approx of 5-stage schedule). The ~73-76% reduction (BTP core claim) reproduces independently.</t>
        </is>
      </c>
    </row>
  </sheetData>
  <mergeCells count="1">
    <mergeCell ref="A8:G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2026-06-12T16:37:25Z</dcterms:created>
  <dcterms:modified xmlns:dcterms="http://purl.org/dc/terms/" xmlns:xsi="http://www.w3.org/2001/XMLSchema-instance" xsi:type="dcterms:W3CDTF">2026-06-17T12:22:56Z</dcterms:modified>
  <cp:lastModifiedBy>Subrahmanya Kedar Pantula</cp:lastModifiedBy>
  <cp:revision>0</cp:revision>
</cp:coreProperties>
</file>